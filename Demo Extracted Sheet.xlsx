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redit Review Tool\"/>
    </mc:Choice>
  </mc:AlternateContent>
  <xr:revisionPtr revIDLastSave="0" documentId="13_ncr:1_{52FDA130-83CA-47E3-AE85-4D49D28A5830}" xr6:coauthVersionLast="47" xr6:coauthVersionMax="47" xr10:uidLastSave="{00000000-0000-0000-0000-000000000000}"/>
  <bookViews>
    <workbookView xWindow="-108" yWindow="-108" windowWidth="23256" windowHeight="12456" tabRatio="842" xr2:uid="{1E9F3CFA-9F0E-444B-99A2-D5361132FABB}"/>
  </bookViews>
  <sheets>
    <sheet name="1-Input Data" sheetId="7" r:id="rId1"/>
    <sheet name="Sheet1" sheetId="1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7" l="1"/>
  <c r="C59" i="7"/>
  <c r="B59" i="7"/>
  <c r="E56" i="7"/>
  <c r="E55" i="7"/>
  <c r="E54" i="7"/>
  <c r="E53" i="7"/>
  <c r="E52" i="7"/>
  <c r="E51" i="7"/>
  <c r="E50" i="7"/>
  <c r="E49" i="7"/>
  <c r="C56" i="7"/>
  <c r="C55" i="7"/>
  <c r="C54" i="7"/>
  <c r="C53" i="7"/>
  <c r="C52" i="7"/>
  <c r="C51" i="7"/>
  <c r="C50" i="7"/>
  <c r="C49" i="7"/>
  <c r="B73" i="7"/>
  <c r="B72" i="7"/>
  <c r="B71" i="7"/>
  <c r="B70" i="7"/>
  <c r="B69" i="7"/>
  <c r="B66" i="7"/>
  <c r="B64" i="7"/>
  <c r="B63" i="7"/>
  <c r="C34" i="7"/>
  <c r="B34" i="7"/>
  <c r="C30" i="7"/>
  <c r="B30" i="7"/>
  <c r="B19" i="7"/>
  <c r="C18" i="7"/>
  <c r="B18" i="7"/>
  <c r="B17" i="7"/>
  <c r="C16" i="7"/>
  <c r="B16" i="7"/>
  <c r="C14" i="7"/>
  <c r="B14" i="7"/>
  <c r="C12" i="7"/>
  <c r="B12" i="7"/>
  <c r="B7" i="7"/>
  <c r="C17" i="7" l="1"/>
  <c r="C7" i="7"/>
  <c r="B20" i="7" l="1"/>
  <c r="C20" i="7"/>
  <c r="C19" i="7"/>
</calcChain>
</file>

<file path=xl/sharedStrings.xml><?xml version="1.0" encoding="utf-8"?>
<sst xmlns="http://schemas.openxmlformats.org/spreadsheetml/2006/main" count="100" uniqueCount="96">
  <si>
    <t>Area 1 - Extracted &amp; Validated Data: Tata Steel Limited, Standalone (₹ crore)</t>
  </si>
  <si>
    <t>Colour legend</t>
  </si>
  <si>
    <t>Blue text</t>
  </si>
  <si>
    <t>Value extracted from the published results, or a stated assumption.</t>
  </si>
  <si>
    <t>Black text</t>
  </si>
  <si>
    <t>Formula computed on the same sheet.</t>
  </si>
  <si>
    <t>Profit &amp; Loss</t>
  </si>
  <si>
    <t>FY 31.03.2026</t>
  </si>
  <si>
    <t>FY 31.03.2025</t>
  </si>
  <si>
    <t>Reported (validation)</t>
  </si>
  <si>
    <t>Yellow fill</t>
  </si>
  <si>
    <t>Assumption / policy parameter - not disclosed in the results, tune as needed.</t>
  </si>
  <si>
    <t>Revenue from operations</t>
  </si>
  <si>
    <t>Other income</t>
  </si>
  <si>
    <t>Total income</t>
  </si>
  <si>
    <t>Total expenses</t>
  </si>
  <si>
    <t xml:space="preserve">  of which: Finance costs</t>
  </si>
  <si>
    <t xml:space="preserve">  of which: Depreciation &amp; amortisation</t>
  </si>
  <si>
    <t>Interest income and income from current investments (per cash flow)</t>
  </si>
  <si>
    <t>Profit before exceptional items &amp; tax</t>
  </si>
  <si>
    <t>Exceptional items (net)</t>
  </si>
  <si>
    <t>Profit before tax</t>
  </si>
  <si>
    <t>Total tax expense</t>
  </si>
  <si>
    <t>Net profit for the period</t>
  </si>
  <si>
    <t>Net finance charges (Finance costs − Interest income)</t>
  </si>
  <si>
    <t>EBITDA (company definition: PBT + Net Finance Charges + D&amp;A)</t>
  </si>
  <si>
    <t>EBITDA margin (ties to reported operating EBITDA margin)</t>
  </si>
  <si>
    <t>EBIT (company definition: row PBT + Net Finance Charges)</t>
  </si>
  <si>
    <t>Balance Sheet</t>
  </si>
  <si>
    <t>Property, plant &amp; equipment (net)</t>
  </si>
  <si>
    <t>Total assets</t>
  </si>
  <si>
    <t>Total equity</t>
  </si>
  <si>
    <t>Borrowings - non-current</t>
  </si>
  <si>
    <t>Borrowings - current</t>
  </si>
  <si>
    <t>Lease liabilities - non-current</t>
  </si>
  <si>
    <t>Lease liabilities - current</t>
  </si>
  <si>
    <t>Total debt (borrowings + lease liabilities)</t>
  </si>
  <si>
    <t>Current investments</t>
  </si>
  <si>
    <t>Cash &amp; cash equivalents</t>
  </si>
  <si>
    <t>Other balances with banks</t>
  </si>
  <si>
    <t>Net debt (company definition: row 30 − rows 31–33)</t>
  </si>
  <si>
    <t>Current assets</t>
  </si>
  <si>
    <t>Current liabilities</t>
  </si>
  <si>
    <t>Total liabilities</t>
  </si>
  <si>
    <t>Cash Flow (extracts)</t>
  </si>
  <si>
    <t>Net cash from operating activities</t>
  </si>
  <si>
    <t>Income taxes paid (net of refund)</t>
  </si>
  <si>
    <t>Interest paid</t>
  </si>
  <si>
    <t>Repayment of long-term borrowings</t>
  </si>
  <si>
    <t>Principal payment of lease liabilities</t>
  </si>
  <si>
    <t>Purchase of capital assets (capex)</t>
  </si>
  <si>
    <t>Dividend paid</t>
  </si>
  <si>
    <t>Total Comprehensive Income</t>
  </si>
  <si>
    <t>Reported Ratios - Regulation 52(4) disclosures (extracted as-is)</t>
  </si>
  <si>
    <t>FY 31.03.2026 (Reported)</t>
  </si>
  <si>
    <t>FY 31.03.2026 (Calculated)</t>
  </si>
  <si>
    <t>FY 31.03.2025 (Reported)</t>
  </si>
  <si>
    <t>FY 31.03.2025 (Calculated)</t>
  </si>
  <si>
    <t>Debt service coverage ratio (DSCR)</t>
  </si>
  <si>
    <t>Interest service coverage ratio (ISCR)</t>
  </si>
  <si>
    <t>Current ratio (company definition: CL excl. current maturities)</t>
  </si>
  <si>
    <t>Debt equity ratio (net debt / average equity)</t>
  </si>
  <si>
    <t>Total debts to total assets</t>
  </si>
  <si>
    <t>Operating EBITDA margin</t>
  </si>
  <si>
    <t>Net profit margin</t>
  </si>
  <si>
    <t>Net worth (₹ cr)</t>
  </si>
  <si>
    <t>Derived for Reconciliation</t>
  </si>
  <si>
    <t>Average equity FY26 = (FY26 + FY25 equity) / 2</t>
  </si>
  <si>
    <t>Automated Validation Checks (Area 1 rules)</t>
  </si>
  <si>
    <t>P&amp;L internal consistency: derived PBT-before-exceptional vs reported</t>
  </si>
  <si>
    <t>P&amp;L internal consistency: derived net profit vs reported</t>
  </si>
  <si>
    <t>Balance sheet identity: Assets = Equity + Total liabilities (±1%)</t>
  </si>
  <si>
    <t>Operating cash flow positive in both years</t>
  </si>
  <si>
    <t>Reconciliation Checks - derived values tie to the reported statement figures</t>
  </si>
  <si>
    <t>Computed EBITDA margin = reported operating EBITDA margin (FY26)</t>
  </si>
  <si>
    <t>Computed EBITDA margin = reported operating EBITDA margin (FY25)</t>
  </si>
  <si>
    <t>Computed net profit margin = reported net profit margin (FY26)</t>
  </si>
  <si>
    <t>Computed total debts / total assets = reported 0.25 (FY26)</t>
  </si>
  <si>
    <t>Computed net debt / average equity = reported 0.50 (FY26)</t>
  </si>
  <si>
    <t>Step</t>
  </si>
  <si>
    <t>What happens</t>
  </si>
  <si>
    <t>Rule</t>
  </si>
  <si>
    <t>Engine computes DSCR, Debt-to-Equity, ICR, Current Ratio and Debt/EBITDA from the signed-off Area 1 data.</t>
  </si>
  <si>
    <t>DSCR should be above minimum threshold (1.25x)</t>
  </si>
  <si>
    <t>Each ratio is compared to its threshold, with the industry overlay applied (a manufacturing borrower is judged against manufacturing bands).</t>
  </si>
  <si>
    <t>Debt-to-Equity = Total Debt / Net Worth. should be under minimum threshold.</t>
  </si>
  <si>
    <t>Trend rules run across the 3-year lines; each green flag returns YES/NO; all four YES = 'Positive trend'.</t>
  </si>
  <si>
    <t>Interest Coverage Ratio = EBIT / Interest Expense. Should be above minimum threshold</t>
  </si>
  <si>
    <t>The stress case reruns DSCR with the stressed inputs; PASS requires stressed DSCR ≥ 1.25x.</t>
  </si>
  <si>
    <t>Current Ratio = Current Assets / Current Liabilities</t>
  </si>
  <si>
    <t>Results go to the ratio dashboard (pass/watch/fail colouring) and to the narrative layer, which drafts the interpretation for the analyst to edit.</t>
  </si>
  <si>
    <t>(Short Term + Long Term Debt) / EBITDA (2–3x moderate, 4–5x risky)</t>
  </si>
  <si>
    <t>Trend Analysis: revenue growth rate should be above minimum threshold (e.g. ≥ 5% each of last 2 years)</t>
  </si>
  <si>
    <t>Trend Analysis: Debt lower each year-end</t>
  </si>
  <si>
    <t>Trend Analysis: Operating Cash Flow positive all 3 years</t>
  </si>
  <si>
    <t>qualitative factors such as management quality, industry outlook left with the analyst. The system covers only the quantitative layer.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</si>
</sst>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.0;\(#,##0.0\);\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4"/>
      <color rgb="FF1F4E79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0B4"/>
        <bgColor rgb="FFCCFFCC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</borders>
  <cellStyleXfs count="4">
    <xf numFmtId="0" fontId="0" fillId="0" borderId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4" fillId="3" borderId="2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2" fillId="3" borderId="2" xfId="0" applyFont="1" applyFill="1" applyBorder="1" applyAlignment="1">
      <alignment vertical="center" wrapText="1"/>
    </xf>
    <xf numFmtId="0" fontId="12" fillId="3" borderId="3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8" fillId="0" borderId="1" xfId="1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9" fillId="0" borderId="1" xfId="1" applyFont="1" applyBorder="1" applyAlignment="1">
      <alignment vertical="center"/>
    </xf>
    <xf numFmtId="0" fontId="5" fillId="2" borderId="1" xfId="1" applyFont="1" applyFill="1" applyBorder="1" applyAlignment="1">
      <alignment vertical="center"/>
    </xf>
    <xf numFmtId="0" fontId="6" fillId="2" borderId="1" xfId="1" applyFont="1" applyFill="1" applyBorder="1" applyAlignment="1">
      <alignment horizontal="right" vertical="center"/>
    </xf>
    <xf numFmtId="0" fontId="7" fillId="4" borderId="1" xfId="1" applyFont="1" applyFill="1" applyBorder="1" applyAlignment="1">
      <alignment vertical="center"/>
    </xf>
    <xf numFmtId="0" fontId="7" fillId="0" borderId="1" xfId="1" applyFont="1" applyBorder="1" applyAlignment="1">
      <alignment vertical="center" wrapText="1"/>
    </xf>
    <xf numFmtId="164" fontId="8" fillId="0" borderId="1" xfId="1" applyNumberFormat="1" applyFont="1" applyBorder="1" applyAlignment="1">
      <alignment vertical="center"/>
    </xf>
    <xf numFmtId="164" fontId="9" fillId="0" borderId="1" xfId="1" applyNumberFormat="1" applyFont="1" applyBorder="1" applyAlignment="1">
      <alignment vertical="center"/>
    </xf>
    <xf numFmtId="164" fontId="6" fillId="0" borderId="1" xfId="1" applyNumberFormat="1" applyFont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0" fontId="6" fillId="0" borderId="1" xfId="1" applyFont="1" applyBorder="1" applyAlignment="1">
      <alignment horizontal="right" vertical="center"/>
    </xf>
    <xf numFmtId="10" fontId="9" fillId="0" borderId="1" xfId="1" applyNumberFormat="1" applyFont="1" applyBorder="1" applyAlignment="1">
      <alignment vertical="center"/>
    </xf>
    <xf numFmtId="10" fontId="8" fillId="0" borderId="1" xfId="3" applyNumberFormat="1" applyFont="1" applyBorder="1" applyAlignment="1">
      <alignment vertical="center"/>
    </xf>
    <xf numFmtId="43" fontId="8" fillId="0" borderId="1" xfId="2" applyFont="1" applyBorder="1" applyAlignment="1">
      <alignment vertical="center"/>
    </xf>
    <xf numFmtId="2" fontId="7" fillId="0" borderId="1" xfId="1" applyNumberFormat="1" applyFont="1" applyBorder="1" applyAlignment="1">
      <alignment vertical="center"/>
    </xf>
    <xf numFmtId="10" fontId="7" fillId="0" borderId="1" xfId="3" applyNumberFormat="1" applyFont="1" applyBorder="1" applyAlignment="1">
      <alignment vertical="center"/>
    </xf>
    <xf numFmtId="43" fontId="7" fillId="0" borderId="1" xfId="2" applyFont="1" applyBorder="1" applyAlignment="1">
      <alignment vertical="center"/>
    </xf>
    <xf numFmtId="0" fontId="10" fillId="0" borderId="0" xfId="1" applyFont="1" applyAlignment="1">
      <alignment vertical="center" wrapText="1"/>
    </xf>
  </cellXfs>
  <cellStyles count="4">
    <cellStyle name="Comma" xfId="2" builtinId="3"/>
    <cellStyle name="Normal" xfId="0" builtinId="0"/>
    <cellStyle name="Normal 2" xfId="1" xr:uid="{11368911-94FB-46AF-9F3C-682EDF80A08B}"/>
    <cellStyle name="Percent" xfId="3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51B7-AE24-4B77-B604-B1CD11812C28}">
  <dimension ref="A1:G77"/>
  <sheetViews>
    <sheetView tabSelected="1" zoomScale="80" zoomScaleNormal="100" workbookViewId="0">
      <pane ySplit="4" topLeftCell="A5" activePane="bottomLeft" state="frozen"/>
      <selection pane="bottomLeft" activeCell="B65" sqref="B65"/>
    </sheetView>
  </sheetViews>
  <sheetFormatPr defaultColWidth="8.5546875" defaultRowHeight="14.4" x14ac:dyDescent="0.3"/>
  <cols>
    <col min="1" max="1" width="63.88671875" style="8" customWidth="1"/>
    <col min="2" max="2" width="23.88671875" style="8" customWidth="1"/>
    <col min="3" max="3" width="21.33203125" style="8" bestFit="1" customWidth="1"/>
    <col min="4" max="4" width="22.5546875" style="8" customWidth="1"/>
    <col min="5" max="5" width="21.33203125" style="8" bestFit="1" customWidth="1"/>
    <col min="6" max="6" width="8.5546875" style="8"/>
    <col min="7" max="7" width="63.5546875" style="8" customWidth="1"/>
    <col min="8" max="16384" width="8.5546875" style="8"/>
  </cols>
  <sheetData>
    <row r="1" spans="1:7" ht="18" x14ac:dyDescent="0.3">
      <c r="A1" s="7" t="s">
        <v>0</v>
      </c>
      <c r="F1" s="9" t="s">
        <v>1</v>
      </c>
    </row>
    <row r="2" spans="1:7" x14ac:dyDescent="0.3">
      <c r="A2" s="10"/>
      <c r="F2" s="11" t="s">
        <v>2</v>
      </c>
      <c r="G2" s="12" t="s">
        <v>3</v>
      </c>
    </row>
    <row r="3" spans="1:7" x14ac:dyDescent="0.3">
      <c r="F3" s="13" t="s">
        <v>4</v>
      </c>
      <c r="G3" s="12" t="s">
        <v>5</v>
      </c>
    </row>
    <row r="4" spans="1:7" x14ac:dyDescent="0.3">
      <c r="A4" s="14" t="s">
        <v>6</v>
      </c>
      <c r="B4" s="15" t="s">
        <v>7</v>
      </c>
      <c r="C4" s="15" t="s">
        <v>8</v>
      </c>
      <c r="D4" s="15" t="s">
        <v>9</v>
      </c>
      <c r="F4" s="16" t="s">
        <v>10</v>
      </c>
      <c r="G4" s="12" t="s">
        <v>11</v>
      </c>
    </row>
    <row r="5" spans="1:7" x14ac:dyDescent="0.3">
      <c r="A5" s="17" t="s">
        <v>12</v>
      </c>
      <c r="B5" s="18">
        <v>139720.22</v>
      </c>
      <c r="C5" s="18">
        <v>132516.66</v>
      </c>
      <c r="D5" s="18"/>
    </row>
    <row r="6" spans="1:7" x14ac:dyDescent="0.3">
      <c r="A6" s="17" t="s">
        <v>13</v>
      </c>
      <c r="B6" s="18">
        <v>2165.6999999999998</v>
      </c>
      <c r="C6" s="18">
        <v>2246.9</v>
      </c>
      <c r="D6" s="18"/>
    </row>
    <row r="7" spans="1:7" x14ac:dyDescent="0.3">
      <c r="A7" s="17" t="s">
        <v>14</v>
      </c>
      <c r="B7" s="19">
        <f>B5+B6</f>
        <v>141885.92000000001</v>
      </c>
      <c r="C7" s="19">
        <f>C5+C6</f>
        <v>134763.56</v>
      </c>
      <c r="D7" s="18">
        <v>141885.92000000001</v>
      </c>
    </row>
    <row r="8" spans="1:7" x14ac:dyDescent="0.3">
      <c r="A8" s="17" t="s">
        <v>15</v>
      </c>
      <c r="B8" s="18">
        <v>119433.96</v>
      </c>
      <c r="C8" s="18">
        <v>115142.68</v>
      </c>
      <c r="D8" s="18"/>
    </row>
    <row r="9" spans="1:7" x14ac:dyDescent="0.3">
      <c r="A9" s="17" t="s">
        <v>16</v>
      </c>
      <c r="B9" s="18">
        <v>5116.88</v>
      </c>
      <c r="C9" s="18">
        <v>4238.3500000000004</v>
      </c>
      <c r="D9" s="18"/>
    </row>
    <row r="10" spans="1:7" x14ac:dyDescent="0.3">
      <c r="A10" s="17" t="s">
        <v>17</v>
      </c>
      <c r="B10" s="18">
        <v>7068.68</v>
      </c>
      <c r="C10" s="18">
        <v>6253.16</v>
      </c>
      <c r="D10" s="18"/>
    </row>
    <row r="11" spans="1:7" x14ac:dyDescent="0.3">
      <c r="A11" s="17" t="s">
        <v>18</v>
      </c>
      <c r="B11" s="18">
        <v>1601.89</v>
      </c>
      <c r="C11" s="18">
        <v>1895.01</v>
      </c>
      <c r="D11" s="18"/>
    </row>
    <row r="12" spans="1:7" x14ac:dyDescent="0.3">
      <c r="A12" s="17" t="s">
        <v>19</v>
      </c>
      <c r="B12" s="19">
        <f>B7-B8</f>
        <v>22451.960000000006</v>
      </c>
      <c r="C12" s="19">
        <f>C7-C8</f>
        <v>19620.880000000005</v>
      </c>
      <c r="D12" s="18">
        <v>22451.96</v>
      </c>
    </row>
    <row r="13" spans="1:7" x14ac:dyDescent="0.3">
      <c r="A13" s="17" t="s">
        <v>20</v>
      </c>
      <c r="B13" s="18">
        <v>-1098.8599999999999</v>
      </c>
      <c r="C13" s="18">
        <v>-902.04</v>
      </c>
      <c r="D13" s="18"/>
    </row>
    <row r="14" spans="1:7" x14ac:dyDescent="0.3">
      <c r="A14" s="17" t="s">
        <v>21</v>
      </c>
      <c r="B14" s="19">
        <f>B12+B13</f>
        <v>21353.100000000006</v>
      </c>
      <c r="C14" s="19">
        <f>C12+C13</f>
        <v>18718.840000000004</v>
      </c>
      <c r="D14" s="18">
        <v>21353.1</v>
      </c>
    </row>
    <row r="15" spans="1:7" x14ac:dyDescent="0.3">
      <c r="A15" s="17" t="s">
        <v>22</v>
      </c>
      <c r="B15" s="18">
        <v>5287.97</v>
      </c>
      <c r="C15" s="18">
        <v>4749.1400000000003</v>
      </c>
      <c r="D15" s="18"/>
    </row>
    <row r="16" spans="1:7" x14ac:dyDescent="0.3">
      <c r="A16" s="17" t="s">
        <v>23</v>
      </c>
      <c r="B16" s="19">
        <f>B14-B15</f>
        <v>16065.130000000005</v>
      </c>
      <c r="C16" s="19">
        <f>C14-C15</f>
        <v>13969.700000000004</v>
      </c>
      <c r="D16" s="18">
        <v>16065.13</v>
      </c>
    </row>
    <row r="17" spans="1:4" x14ac:dyDescent="0.3">
      <c r="A17" s="17" t="s">
        <v>24</v>
      </c>
      <c r="B17" s="19">
        <f>B9-B11</f>
        <v>3514.99</v>
      </c>
      <c r="C17" s="19">
        <f>C9-C11</f>
        <v>2343.34</v>
      </c>
      <c r="D17" s="18"/>
    </row>
    <row r="18" spans="1:4" x14ac:dyDescent="0.3">
      <c r="A18" s="17" t="s">
        <v>25</v>
      </c>
      <c r="B18" s="20">
        <f>B12+B17+B10</f>
        <v>33035.630000000005</v>
      </c>
      <c r="C18" s="20">
        <f>C12+C17+C10</f>
        <v>28217.380000000005</v>
      </c>
      <c r="D18" s="18"/>
    </row>
    <row r="19" spans="1:4" x14ac:dyDescent="0.3">
      <c r="A19" s="17" t="s">
        <v>26</v>
      </c>
      <c r="B19" s="23">
        <f>B18/B5</f>
        <v>0.23644129675719094</v>
      </c>
      <c r="C19" s="23">
        <f>C18/C5</f>
        <v>0.21293458497973011</v>
      </c>
      <c r="D19" s="18"/>
    </row>
    <row r="20" spans="1:4" x14ac:dyDescent="0.3">
      <c r="A20" s="17" t="s">
        <v>27</v>
      </c>
      <c r="B20" s="20">
        <f>B12+B17</f>
        <v>25966.950000000004</v>
      </c>
      <c r="C20" s="20">
        <f>C12+C17</f>
        <v>21964.220000000005</v>
      </c>
      <c r="D20" s="18"/>
    </row>
    <row r="22" spans="1:4" x14ac:dyDescent="0.3">
      <c r="A22" s="14" t="s">
        <v>28</v>
      </c>
      <c r="B22" s="15" t="s">
        <v>7</v>
      </c>
      <c r="C22" s="15" t="s">
        <v>8</v>
      </c>
    </row>
    <row r="23" spans="1:4" x14ac:dyDescent="0.3">
      <c r="A23" s="17" t="s">
        <v>29</v>
      </c>
      <c r="B23" s="18">
        <v>109059.93</v>
      </c>
      <c r="C23" s="18">
        <v>93203.83</v>
      </c>
    </row>
    <row r="24" spans="1:4" x14ac:dyDescent="0.3">
      <c r="A24" s="17" t="s">
        <v>30</v>
      </c>
      <c r="B24" s="18">
        <v>272747.42</v>
      </c>
      <c r="C24" s="18">
        <v>254132.74</v>
      </c>
    </row>
    <row r="25" spans="1:4" x14ac:dyDescent="0.3">
      <c r="A25" s="17" t="s">
        <v>31</v>
      </c>
      <c r="B25" s="18">
        <v>135533.31</v>
      </c>
      <c r="C25" s="18">
        <v>126731.94</v>
      </c>
    </row>
    <row r="26" spans="1:4" x14ac:dyDescent="0.3">
      <c r="A26" s="17" t="s">
        <v>32</v>
      </c>
      <c r="B26" s="18">
        <v>50666.45</v>
      </c>
      <c r="C26" s="18">
        <v>51040.98</v>
      </c>
    </row>
    <row r="27" spans="1:4" x14ac:dyDescent="0.3">
      <c r="A27" s="17" t="s">
        <v>33</v>
      </c>
      <c r="B27" s="18">
        <v>14037.73</v>
      </c>
      <c r="C27" s="18">
        <v>8640.44</v>
      </c>
    </row>
    <row r="28" spans="1:4" x14ac:dyDescent="0.3">
      <c r="A28" s="17" t="s">
        <v>34</v>
      </c>
      <c r="B28" s="18">
        <v>3766.16</v>
      </c>
      <c r="C28" s="18">
        <v>3177.06</v>
      </c>
    </row>
    <row r="29" spans="1:4" x14ac:dyDescent="0.3">
      <c r="A29" s="17" t="s">
        <v>35</v>
      </c>
      <c r="B29" s="18">
        <v>578.92999999999995</v>
      </c>
      <c r="C29" s="18">
        <v>364.91</v>
      </c>
    </row>
    <row r="30" spans="1:4" x14ac:dyDescent="0.3">
      <c r="A30" s="17" t="s">
        <v>36</v>
      </c>
      <c r="B30" s="20">
        <f>SUM(B26:B29)</f>
        <v>69049.26999999999</v>
      </c>
      <c r="C30" s="20">
        <f>SUM(C26:C29)</f>
        <v>63223.390000000007</v>
      </c>
    </row>
    <row r="31" spans="1:4" x14ac:dyDescent="0.3">
      <c r="A31" s="17" t="s">
        <v>37</v>
      </c>
      <c r="B31" s="18">
        <v>0.11</v>
      </c>
      <c r="C31" s="18">
        <v>0.12</v>
      </c>
    </row>
    <row r="32" spans="1:4" x14ac:dyDescent="0.3">
      <c r="A32" s="17" t="s">
        <v>38</v>
      </c>
      <c r="B32" s="18">
        <v>2912.79</v>
      </c>
      <c r="C32" s="18">
        <v>3111.93</v>
      </c>
    </row>
    <row r="33" spans="1:5" x14ac:dyDescent="0.3">
      <c r="A33" s="17" t="s">
        <v>39</v>
      </c>
      <c r="B33" s="18">
        <v>191.6</v>
      </c>
      <c r="C33" s="18">
        <v>1032.69</v>
      </c>
    </row>
    <row r="34" spans="1:5" x14ac:dyDescent="0.3">
      <c r="A34" s="17" t="s">
        <v>40</v>
      </c>
      <c r="B34" s="20">
        <f>B30-B31-B32-B33</f>
        <v>65944.76999999999</v>
      </c>
      <c r="C34" s="20">
        <f>C30-C31-C32-C33</f>
        <v>59078.65</v>
      </c>
    </row>
    <row r="35" spans="1:5" x14ac:dyDescent="0.3">
      <c r="A35" s="17" t="s">
        <v>41</v>
      </c>
      <c r="B35" s="18">
        <v>33393.07</v>
      </c>
      <c r="C35" s="18">
        <v>33702.9</v>
      </c>
    </row>
    <row r="36" spans="1:5" x14ac:dyDescent="0.3">
      <c r="A36" s="17" t="s">
        <v>42</v>
      </c>
      <c r="B36" s="18">
        <v>63732.79</v>
      </c>
      <c r="C36" s="18">
        <v>54482.92</v>
      </c>
    </row>
    <row r="37" spans="1:5" x14ac:dyDescent="0.3">
      <c r="A37" s="17" t="s">
        <v>43</v>
      </c>
      <c r="B37" s="18">
        <v>137214.10999999999</v>
      </c>
      <c r="C37" s="18">
        <v>127400.8</v>
      </c>
    </row>
    <row r="39" spans="1:5" x14ac:dyDescent="0.3">
      <c r="A39" s="14" t="s">
        <v>44</v>
      </c>
      <c r="B39" s="15" t="s">
        <v>7</v>
      </c>
      <c r="C39" s="15" t="s">
        <v>8</v>
      </c>
    </row>
    <row r="40" spans="1:5" x14ac:dyDescent="0.3">
      <c r="A40" s="17" t="s">
        <v>45</v>
      </c>
      <c r="B40" s="18">
        <v>31960.95</v>
      </c>
      <c r="C40" s="18">
        <v>23505.68</v>
      </c>
    </row>
    <row r="41" spans="1:5" x14ac:dyDescent="0.3">
      <c r="A41" s="17" t="s">
        <v>46</v>
      </c>
      <c r="B41" s="18">
        <v>4229.8</v>
      </c>
      <c r="C41" s="18">
        <v>2688.26</v>
      </c>
    </row>
    <row r="42" spans="1:5" x14ac:dyDescent="0.3">
      <c r="A42" s="17" t="s">
        <v>47</v>
      </c>
      <c r="B42" s="18">
        <v>6067.14</v>
      </c>
      <c r="C42" s="18">
        <v>5113.51</v>
      </c>
    </row>
    <row r="43" spans="1:5" x14ac:dyDescent="0.3">
      <c r="A43" s="17" t="s">
        <v>48</v>
      </c>
      <c r="B43" s="18">
        <v>9385.44</v>
      </c>
      <c r="C43" s="18">
        <v>3931.48</v>
      </c>
    </row>
    <row r="44" spans="1:5" x14ac:dyDescent="0.3">
      <c r="A44" s="17" t="s">
        <v>49</v>
      </c>
      <c r="B44" s="18">
        <v>427.36</v>
      </c>
      <c r="C44" s="18">
        <v>503.45</v>
      </c>
    </row>
    <row r="45" spans="1:5" x14ac:dyDescent="0.3">
      <c r="A45" s="17" t="s">
        <v>50</v>
      </c>
      <c r="B45" s="18">
        <v>8813.6</v>
      </c>
      <c r="C45" s="18">
        <v>11105.71</v>
      </c>
    </row>
    <row r="46" spans="1:5" x14ac:dyDescent="0.3">
      <c r="A46" s="17" t="s">
        <v>51</v>
      </c>
      <c r="B46" s="18">
        <v>4494.07</v>
      </c>
      <c r="C46" s="18">
        <v>4494.07</v>
      </c>
    </row>
    <row r="47" spans="1:5" x14ac:dyDescent="0.3">
      <c r="A47" s="8" t="s">
        <v>52</v>
      </c>
      <c r="B47" s="18">
        <v>13295.44</v>
      </c>
      <c r="C47" s="18">
        <v>-10003.459999999999</v>
      </c>
    </row>
    <row r="48" spans="1:5" x14ac:dyDescent="0.3">
      <c r="A48" s="14" t="s">
        <v>53</v>
      </c>
      <c r="B48" s="15" t="s">
        <v>54</v>
      </c>
      <c r="C48" s="15" t="s">
        <v>55</v>
      </c>
      <c r="D48" s="15" t="s">
        <v>56</v>
      </c>
      <c r="E48" s="15" t="s">
        <v>57</v>
      </c>
    </row>
    <row r="49" spans="1:5" x14ac:dyDescent="0.3">
      <c r="A49" s="17" t="s">
        <v>58</v>
      </c>
      <c r="B49" s="11">
        <v>2.85</v>
      </c>
      <c r="C49" s="26">
        <f>B20/((B9-B11)+(B43+B44))</f>
        <v>1.9483312687249725</v>
      </c>
      <c r="D49" s="11">
        <v>3.82</v>
      </c>
      <c r="E49" s="26">
        <f>C20/((C9-C11)+(C43+C44))</f>
        <v>3.2403872964635525</v>
      </c>
    </row>
    <row r="50" spans="1:5" x14ac:dyDescent="0.3">
      <c r="A50" s="17" t="s">
        <v>59</v>
      </c>
      <c r="B50" s="11">
        <v>8.08</v>
      </c>
      <c r="C50" s="26">
        <f>B20/((B9-B11))</f>
        <v>7.3874890113485403</v>
      </c>
      <c r="D50" s="11">
        <v>9.94</v>
      </c>
      <c r="E50" s="26">
        <f>C20/((C9-C11))</f>
        <v>9.373040190497326</v>
      </c>
    </row>
    <row r="51" spans="1:5" x14ac:dyDescent="0.3">
      <c r="A51" s="17" t="s">
        <v>60</v>
      </c>
      <c r="B51" s="11">
        <v>0.57999999999999996</v>
      </c>
      <c r="C51" s="26">
        <f>B35/(B36-B29)</f>
        <v>0.528757387117747</v>
      </c>
      <c r="D51" s="11">
        <v>0.69</v>
      </c>
      <c r="E51" s="26">
        <f>C35/(C36-C29)</f>
        <v>0.62276680166177589</v>
      </c>
    </row>
    <row r="52" spans="1:5" x14ac:dyDescent="0.3">
      <c r="A52" s="17" t="s">
        <v>61</v>
      </c>
      <c r="B52" s="11">
        <v>0.5</v>
      </c>
      <c r="C52" s="26">
        <f>(B30-B31-B32-B33)/B59</f>
        <v>0.50288606668249025</v>
      </c>
      <c r="D52" s="11">
        <v>0.44</v>
      </c>
      <c r="E52" s="26">
        <f>(C30-C31-C32-C33)/C59</f>
        <v>0.44094894111805127</v>
      </c>
    </row>
    <row r="53" spans="1:5" x14ac:dyDescent="0.3">
      <c r="A53" s="17" t="s">
        <v>62</v>
      </c>
      <c r="B53" s="11">
        <v>0.25</v>
      </c>
      <c r="C53" s="26">
        <f>B30/B24</f>
        <v>0.25316195474919612</v>
      </c>
      <c r="D53" s="11">
        <v>0.25</v>
      </c>
      <c r="E53" s="26">
        <f>C30/C24</f>
        <v>0.24878097170793503</v>
      </c>
    </row>
    <row r="54" spans="1:5" x14ac:dyDescent="0.3">
      <c r="A54" s="17" t="s">
        <v>63</v>
      </c>
      <c r="B54" s="24">
        <v>0.2364</v>
      </c>
      <c r="C54" s="27">
        <f>B19</f>
        <v>0.23644129675719094</v>
      </c>
      <c r="D54" s="24">
        <v>0.21290000000000001</v>
      </c>
      <c r="E54" s="27">
        <f>C19</f>
        <v>0.21293458497973011</v>
      </c>
    </row>
    <row r="55" spans="1:5" x14ac:dyDescent="0.3">
      <c r="A55" s="17" t="s">
        <v>64</v>
      </c>
      <c r="B55" s="24">
        <v>0.115</v>
      </c>
      <c r="C55" s="27">
        <f>B16/B5</f>
        <v>0.11498070930606898</v>
      </c>
      <c r="D55" s="24">
        <v>0.10539999999999999</v>
      </c>
      <c r="E55" s="27">
        <f>C16/C5</f>
        <v>0.10541844323574111</v>
      </c>
    </row>
    <row r="56" spans="1:5" x14ac:dyDescent="0.3">
      <c r="A56" s="17" t="s">
        <v>65</v>
      </c>
      <c r="B56" s="25">
        <v>132345.31</v>
      </c>
      <c r="C56" s="28">
        <f>B25</f>
        <v>135533.31</v>
      </c>
      <c r="D56" s="25">
        <v>123543.94</v>
      </c>
      <c r="E56" s="28">
        <f>C25</f>
        <v>126731.94</v>
      </c>
    </row>
    <row r="58" spans="1:5" x14ac:dyDescent="0.3">
      <c r="A58" s="14" t="s">
        <v>66</v>
      </c>
      <c r="B58" s="21"/>
      <c r="C58" s="21"/>
    </row>
    <row r="59" spans="1:5" x14ac:dyDescent="0.3">
      <c r="A59" s="17" t="s">
        <v>67</v>
      </c>
      <c r="B59" s="19">
        <f>(B25+C25)/2</f>
        <v>131132.625</v>
      </c>
      <c r="C59" s="28">
        <f>(C25+(C25+C46-C47))/2</f>
        <v>133980.70500000002</v>
      </c>
    </row>
    <row r="62" spans="1:5" x14ac:dyDescent="0.3">
      <c r="A62" s="14" t="s">
        <v>68</v>
      </c>
      <c r="B62" s="21"/>
      <c r="C62" s="21"/>
    </row>
    <row r="63" spans="1:5" x14ac:dyDescent="0.3">
      <c r="A63" s="17" t="s">
        <v>69</v>
      </c>
      <c r="B63" s="22" t="str">
        <f>IF(ABS(B12-D12)&lt;=1,"PASS","FAIL")</f>
        <v>PASS</v>
      </c>
      <c r="C63" s="12"/>
    </row>
    <row r="64" spans="1:5" x14ac:dyDescent="0.3">
      <c r="A64" s="17" t="s">
        <v>70</v>
      </c>
      <c r="B64" s="22" t="str">
        <f>IF(ABS(B16-D16)&lt;=1,"PASS","FAIL")</f>
        <v>PASS</v>
      </c>
      <c r="C64" s="12"/>
    </row>
    <row r="65" spans="1:4" x14ac:dyDescent="0.3">
      <c r="A65" s="17" t="s">
        <v>71</v>
      </c>
      <c r="B65" s="22" t="str">
        <f>IF(ABS(B24-(B25+B37))&lt;=0.01*B24,"PASS","FAIL")</f>
        <v>PASS</v>
      </c>
      <c r="C65" s="12"/>
    </row>
    <row r="66" spans="1:4" x14ac:dyDescent="0.3">
      <c r="A66" s="17" t="s">
        <v>72</v>
      </c>
      <c r="B66" s="22" t="str">
        <f>IF(AND(B40&gt;0,C40&gt;0),"PASS","FLAG FOR REVIEW")</f>
        <v>PASS</v>
      </c>
      <c r="C66" s="12"/>
    </row>
    <row r="68" spans="1:4" x14ac:dyDescent="0.3">
      <c r="A68" s="14" t="s">
        <v>73</v>
      </c>
      <c r="B68" s="21"/>
      <c r="C68" s="21"/>
    </row>
    <row r="69" spans="1:4" x14ac:dyDescent="0.3">
      <c r="A69" s="17" t="s">
        <v>74</v>
      </c>
      <c r="B69" s="22" t="str">
        <f>IF(ABS(B19-B54)&lt;=0.0005,"PASS - ties","CHECK")</f>
        <v>PASS - ties</v>
      </c>
      <c r="C69" s="12"/>
    </row>
    <row r="70" spans="1:4" x14ac:dyDescent="0.3">
      <c r="A70" s="17" t="s">
        <v>75</v>
      </c>
      <c r="B70" s="22" t="str">
        <f>IF(ABS(C19-D54)&lt;=0.0005,"PASS - ties","CHECK")</f>
        <v>PASS - ties</v>
      </c>
      <c r="C70" s="12"/>
    </row>
    <row r="71" spans="1:4" x14ac:dyDescent="0.3">
      <c r="A71" s="17" t="s">
        <v>76</v>
      </c>
      <c r="B71" s="22" t="str">
        <f>IF(ABS(B16/B5-B55)&lt;=0.0005,"PASS - ties","CHECK")</f>
        <v>PASS - ties</v>
      </c>
      <c r="C71" s="12"/>
    </row>
    <row r="72" spans="1:4" x14ac:dyDescent="0.3">
      <c r="A72" s="17" t="s">
        <v>77</v>
      </c>
      <c r="B72" s="22" t="str">
        <f>IF(ABS(B30/B24-B53)&lt;=0.005,"PASS - ties","CHECK")</f>
        <v>PASS - ties</v>
      </c>
      <c r="C72" s="12"/>
    </row>
    <row r="73" spans="1:4" x14ac:dyDescent="0.3">
      <c r="A73" s="17" t="s">
        <v>78</v>
      </c>
      <c r="B73" s="22" t="str">
        <f>IF(ABS(B34/B59-B52)&lt;=0.005,"PASS - ties","CHECK")</f>
        <v>PASS - ties</v>
      </c>
      <c r="C73" s="12"/>
    </row>
    <row r="75" spans="1:4" x14ac:dyDescent="0.3">
      <c r="A75" s="29"/>
      <c r="B75" s="29"/>
      <c r="C75" s="29"/>
      <c r="D75" s="29"/>
    </row>
    <row r="76" spans="1:4" x14ac:dyDescent="0.3">
      <c r="A76" s="29"/>
      <c r="B76" s="29"/>
      <c r="C76" s="29"/>
      <c r="D76" s="29"/>
    </row>
    <row r="77" spans="1:4" x14ac:dyDescent="0.3">
      <c r="A77" s="29"/>
      <c r="B77" s="29"/>
      <c r="C77" s="29"/>
      <c r="D77" s="29"/>
    </row>
  </sheetData>
  <mergeCells count="1">
    <mergeCell ref="A75:D7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4F5E-47F2-456E-AE91-AD956809C21C}">
  <dimension ref="J1:M11"/>
  <sheetViews>
    <sheetView zoomScale="53" workbookViewId="0">
      <selection activeCell="M12" sqref="M12"/>
    </sheetView>
  </sheetViews>
  <sheetFormatPr defaultRowHeight="14.4" x14ac:dyDescent="0.3"/>
  <cols>
    <col min="10" max="10" width="7.44140625" customWidth="1"/>
    <col min="11" max="11" width="62.88671875" customWidth="1"/>
    <col min="13" max="13" width="35.44140625" bestFit="1" customWidth="1"/>
  </cols>
  <sheetData>
    <row r="1" spans="10:13" ht="15" thickBot="1" x14ac:dyDescent="0.35"/>
    <row r="2" spans="10:13" ht="15" thickBot="1" x14ac:dyDescent="0.35">
      <c r="J2" s="3" t="s">
        <v>79</v>
      </c>
      <c r="K2" s="4" t="s">
        <v>80</v>
      </c>
      <c r="M2" s="1" t="s">
        <v>81</v>
      </c>
    </row>
    <row r="3" spans="10:13" ht="29.4" thickBot="1" x14ac:dyDescent="0.35">
      <c r="J3" s="6">
        <v>1</v>
      </c>
      <c r="K3" s="5" t="s">
        <v>82</v>
      </c>
      <c r="M3" s="2" t="s">
        <v>83</v>
      </c>
    </row>
    <row r="4" spans="10:13" ht="29.4" thickBot="1" x14ac:dyDescent="0.35">
      <c r="J4" s="6">
        <v>2</v>
      </c>
      <c r="K4" s="5" t="s">
        <v>84</v>
      </c>
      <c r="M4" s="2" t="s">
        <v>85</v>
      </c>
    </row>
    <row r="5" spans="10:13" ht="43.8" thickBot="1" x14ac:dyDescent="0.35">
      <c r="J5" s="6">
        <v>3</v>
      </c>
      <c r="K5" s="5" t="s">
        <v>86</v>
      </c>
      <c r="M5" s="2" t="s">
        <v>87</v>
      </c>
    </row>
    <row r="6" spans="10:13" ht="29.4" thickBot="1" x14ac:dyDescent="0.35">
      <c r="J6" s="6">
        <v>4</v>
      </c>
      <c r="K6" s="5" t="s">
        <v>88</v>
      </c>
      <c r="M6" s="2" t="s">
        <v>89</v>
      </c>
    </row>
    <row r="7" spans="10:13" ht="29.4" thickBot="1" x14ac:dyDescent="0.35">
      <c r="J7" s="6">
        <v>5</v>
      </c>
      <c r="K7" s="5" t="s">
        <v>90</v>
      </c>
      <c r="M7" s="2" t="s">
        <v>91</v>
      </c>
    </row>
    <row r="8" spans="10:13" ht="43.8" thickBot="1" x14ac:dyDescent="0.35">
      <c r="M8" s="2" t="s">
        <v>92</v>
      </c>
    </row>
    <row r="9" spans="10:13" ht="15" thickBot="1" x14ac:dyDescent="0.35">
      <c r="M9" s="2" t="s">
        <v>93</v>
      </c>
    </row>
    <row r="10" spans="10:13" ht="29.4" thickBot="1" x14ac:dyDescent="0.35">
      <c r="M10" s="2" t="s">
        <v>94</v>
      </c>
    </row>
    <row r="11" spans="10:13" ht="58.2" thickBot="1" x14ac:dyDescent="0.35">
      <c r="M11" s="2" t="s">
        <v>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1-Input Data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Halder, Vicky</dc:creator>
  <cp:keywords/>
  <dc:description/>
  <cp:lastModifiedBy>HARSHAD ADE</cp:lastModifiedBy>
  <cp:revision/>
  <dcterms:created xsi:type="dcterms:W3CDTF">2026-08-07T04:34:54Z</dcterms:created>
  <dcterms:modified xsi:type="dcterms:W3CDTF">2026-08-18T07:57:55Z</dcterms:modified>
  <cp:category/>
  <cp:contentStatus/>
</cp:coreProperties>
</file>