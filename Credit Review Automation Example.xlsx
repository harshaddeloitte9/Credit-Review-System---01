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indeloitte-my.sharepoint.com/personal/hkhandelwal3_deloitte_com/Documents/Microsoft Teams Chat Files/"/>
    </mc:Choice>
  </mc:AlternateContent>
  <xr:revisionPtr revIDLastSave="0" documentId="8_{378377AB-2BD2-47FE-86A1-4B5629411C7E}" xr6:coauthVersionLast="47" xr6:coauthVersionMax="47" xr10:uidLastSave="{00000000-0000-0000-0000-000000000000}"/>
  <bookViews>
    <workbookView xWindow="-110" yWindow="-110" windowWidth="19420" windowHeight="10300" tabRatio="842" xr2:uid="{1E9F3CFA-9F0E-444B-99A2-D5361132FABB}"/>
  </bookViews>
  <sheets>
    <sheet name="1-Input Data" sheetId="7" r:id="rId1"/>
    <sheet name="2-Financial Analysis" sheetId="3" r:id="rId2"/>
    <sheet name="Sheet1" sheetId="1" state="hidden" r:id="rId3"/>
    <sheet name="3-Risk Scoring" sheetId="4" r:id="rId4"/>
    <sheet name="4-Covenants" sheetId="5" r:id="rId5"/>
    <sheet name="5-Collateral Assessment" sheetId="10" r:id="rId6"/>
    <sheet name="6-Limit Setting" sheetId="9" r:id="rId7"/>
    <sheet name="7-Continuous Monitoring" sheetId="12" r:id="rId8"/>
    <sheet name="8-Portfolio Monitoring" sheetId="11" r:id="rId9"/>
    <sheet name="9 - Credit Memo" sheetId="8" r:id="rId10"/>
    <sheet name="Sheet2"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56" i="7" l="1"/>
  <c r="E55" i="7"/>
  <c r="E54" i="7"/>
  <c r="E53" i="7"/>
  <c r="C59" i="7"/>
  <c r="E52" i="7"/>
  <c r="E51" i="7"/>
  <c r="E50" i="7"/>
  <c r="E49" i="7"/>
  <c r="C56" i="7"/>
  <c r="C55" i="7"/>
  <c r="C54" i="7"/>
  <c r="C53" i="7"/>
  <c r="C52" i="7"/>
  <c r="C51" i="7"/>
  <c r="C50" i="7"/>
  <c r="C49" i="7"/>
  <c r="B70" i="7"/>
  <c r="B12" i="7"/>
  <c r="C20" i="11"/>
  <c r="D4" i="12"/>
  <c r="D16" i="10"/>
  <c r="D17" i="10"/>
  <c r="D18" i="10"/>
  <c r="D19" i="10"/>
  <c r="D15" i="10"/>
  <c r="E11" i="5"/>
  <c r="D11" i="5"/>
  <c r="C13" i="4"/>
  <c r="H19" i="3"/>
  <c r="B63" i="7"/>
  <c r="B19" i="7"/>
  <c r="B69" i="7"/>
  <c r="C12" i="7"/>
  <c r="B4" i="11"/>
  <c r="B28" i="8" s="1"/>
  <c r="B20" i="11"/>
  <c r="B22" i="11"/>
  <c r="C22" i="11"/>
  <c r="C12" i="11"/>
  <c r="B21" i="11" s="1"/>
  <c r="C21" i="11" s="1"/>
  <c r="C14" i="11"/>
  <c r="C15" i="11"/>
  <c r="C16" i="11"/>
  <c r="H14" i="3"/>
  <c r="E14" i="3"/>
  <c r="C5" i="12" s="1"/>
  <c r="D5" i="12" s="1"/>
  <c r="B37" i="9"/>
  <c r="B11" i="9" l="1"/>
  <c r="C11" i="9" s="1"/>
  <c r="B7" i="9"/>
  <c r="B20" i="9" s="1"/>
  <c r="C12" i="5"/>
  <c r="D12" i="5" s="1"/>
  <c r="E12" i="5" s="1"/>
  <c r="C11" i="5"/>
  <c r="B33" i="4"/>
  <c r="D33" i="4" s="1"/>
  <c r="F33" i="4" s="1"/>
  <c r="B32" i="4"/>
  <c r="D32" i="4" s="1"/>
  <c r="F32" i="4" s="1"/>
  <c r="B31" i="4"/>
  <c r="D31" i="4" s="1"/>
  <c r="F31" i="4" s="1"/>
  <c r="B30" i="4"/>
  <c r="D30" i="4" s="1"/>
  <c r="E35" i="4"/>
  <c r="B59" i="7"/>
  <c r="B66" i="7"/>
  <c r="B65" i="7"/>
  <c r="C30" i="7"/>
  <c r="C34" i="7" s="1"/>
  <c r="B30" i="7"/>
  <c r="C17" i="7"/>
  <c r="B17" i="7"/>
  <c r="C7" i="7"/>
  <c r="B7" i="7"/>
  <c r="D14" i="4"/>
  <c r="D15" i="4"/>
  <c r="D16" i="4"/>
  <c r="D17" i="4"/>
  <c r="D18" i="4"/>
  <c r="D19" i="4"/>
  <c r="D20" i="4"/>
  <c r="B21" i="4"/>
  <c r="H21" i="3"/>
  <c r="H26" i="3"/>
  <c r="H25" i="3"/>
  <c r="H24" i="3"/>
  <c r="H23" i="3"/>
  <c r="H22" i="3"/>
  <c r="H20" i="3"/>
  <c r="H18" i="3"/>
  <c r="E18" i="3"/>
  <c r="E19" i="3"/>
  <c r="C6" i="12" s="1"/>
  <c r="D6" i="12" s="1"/>
  <c r="E20" i="3"/>
  <c r="E21" i="3"/>
  <c r="E22" i="3"/>
  <c r="E23" i="3"/>
  <c r="E24" i="3"/>
  <c r="E25" i="3"/>
  <c r="E26" i="3"/>
  <c r="E8" i="3"/>
  <c r="H8" i="3" s="1"/>
  <c r="E9" i="3"/>
  <c r="H9" i="3" s="1"/>
  <c r="E10" i="3"/>
  <c r="H10" i="3" s="1"/>
  <c r="E11" i="3"/>
  <c r="H11" i="3" s="1"/>
  <c r="E12" i="3"/>
  <c r="H12" i="3" s="1"/>
  <c r="E7" i="3"/>
  <c r="D7" i="12" l="1"/>
  <c r="D10" i="12" s="1"/>
  <c r="B24" i="8" s="1"/>
  <c r="E14" i="5"/>
  <c r="B12" i="8" s="1"/>
  <c r="D11" i="9"/>
  <c r="E11" i="9" s="1"/>
  <c r="B12" i="9" s="1"/>
  <c r="C12" i="9" s="1"/>
  <c r="D12" i="9" s="1"/>
  <c r="E12" i="9" s="1"/>
  <c r="B13" i="9" s="1"/>
  <c r="C13" i="9" s="1"/>
  <c r="D13" i="9" s="1"/>
  <c r="E13" i="9" s="1"/>
  <c r="B14" i="9" s="1"/>
  <c r="H7" i="3"/>
  <c r="C4" i="12"/>
  <c r="B34" i="7"/>
  <c r="B73" i="7" s="1"/>
  <c r="D22" i="10"/>
  <c r="D23" i="10" s="1"/>
  <c r="D21" i="10"/>
  <c r="F30" i="4"/>
  <c r="B72" i="7"/>
  <c r="C13" i="3"/>
  <c r="H13" i="3" s="1"/>
  <c r="B3" i="3" s="1"/>
  <c r="B4" i="8" s="1"/>
  <c r="D13" i="3"/>
  <c r="B14" i="7"/>
  <c r="B16" i="7" s="1"/>
  <c r="B20" i="7"/>
  <c r="B18" i="7"/>
  <c r="C14" i="7"/>
  <c r="C16" i="7" s="1"/>
  <c r="C20" i="7"/>
  <c r="C18" i="7"/>
  <c r="C19" i="7" s="1"/>
  <c r="D24" i="10" l="1"/>
  <c r="B19" i="9"/>
  <c r="B22" i="9"/>
  <c r="F35" i="4"/>
  <c r="D13" i="4" s="1"/>
  <c r="D23" i="4" s="1"/>
  <c r="D24" i="4" s="1"/>
  <c r="B10" i="4" s="1"/>
  <c r="B8" i="8" s="1"/>
  <c r="C14" i="9"/>
  <c r="D14" i="9" s="1"/>
  <c r="E14" i="9" s="1"/>
  <c r="B15" i="9" s="1"/>
  <c r="E13" i="3"/>
  <c r="B64" i="7"/>
  <c r="B71" i="7"/>
  <c r="B12" i="10" l="1"/>
  <c r="B16" i="8" s="1"/>
  <c r="B31" i="9"/>
  <c r="B32" i="9"/>
  <c r="B21" i="9"/>
  <c r="B23" i="9" s="1"/>
  <c r="C15" i="9"/>
  <c r="D15" i="9" s="1"/>
  <c r="E15" i="9" s="1"/>
  <c r="B33" i="9" l="1"/>
  <c r="B34" i="9" s="1"/>
  <c r="B38" i="9" s="1"/>
  <c r="B39" i="9" s="1"/>
  <c r="B40" i="9" s="1"/>
  <c r="B20"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tc={915E7FED-EAE6-4170-91BC-4D43C0507BB0}</author>
    <author>tc={5FECDD26-E22C-4201-AAFA-42C5120E1211}</author>
    <author>tc={6CD6AD93-61F7-4F30-8C2F-4319D32809A9}</author>
  </authors>
  <commentList>
    <comment ref="A19" authorId="0" shapeId="0" xr:uid="{915E7FED-EAE6-4170-91BC-4D43C0507BB0}">
      <text>
        <t>[Threaded comment]
Your version of Excel allows you to read this threaded comment; however, any edits to it will get removed if the file is opened in a newer version of Excel. Learn more: https://go.microsoft.com/fwlink/?linkid=870924
Comment:
    Tata Steel has reported a DSCR of 2.85x, but the detailed annual debt-service amount used in that ratio is not separately reported. Therefore, we have back calculated the debt service by dividing EBIT of 25,967cr.by the reported DSCR of 2.85x. This gives an implied annual debt service of approximately 9,111cr.</t>
      </text>
    </comment>
    <comment ref="A32" authorId="1" shapeId="0" xr:uid="{5FECDD26-E22C-4201-AAFA-42C5120E1211}">
      <text>
        <t>[Threaded comment]
Your version of Excel allows you to read this threaded comment; however, any edits to it will get removed if the file is opened in a newer version of Excel. Learn more: https://go.microsoft.com/fwlink/?linkid=870924
Comment:
    Tata Steel has reported a DSCR of 2.85x, but the detailed annual debt-service amount used in that ratio is not separately reported. Therefore, the back calculation of the debt service was performed by dividing EBIT of 25,967cr.by the reported DSCR of 2.85x. This gives an implied annual debt service of approximately 9,111cr.</t>
      </text>
    </comment>
    <comment ref="A34" authorId="2" shapeId="0" xr:uid="{6CD6AD93-61F7-4F30-8C2F-4319D32809A9}">
      <text>
        <t>[Threaded comment]
Your version of Excel allows you to read this threaded comment; however, any edits to it will get removed if the file is opened in a newer version of Excel. Learn more: https://go.microsoft.com/fwlink/?linkid=870924
Comment:
    Based on the minimum DSCR of 1.5x, the available additional annual debt-service capacity is estimated at 8200cr.  Applying the 5 year present value annuity factor at an interest rate of 8%, the maximum additional loan capacity is calculated at 32740cr.</t>
      </text>
    </comment>
  </commentList>
</comments>
</file>

<file path=xl/sharedStrings.xml><?xml version="1.0" encoding="utf-8"?>
<sst xmlns="http://schemas.openxmlformats.org/spreadsheetml/2006/main" count="524" uniqueCount="406">
  <si>
    <t>Area 1 - Extracted &amp; Validated Data: Tata Steel Limited, Standalone (₹ crore)</t>
  </si>
  <si>
    <t>Colour legend</t>
  </si>
  <si>
    <t>Blue text</t>
  </si>
  <si>
    <t>Value extracted from the published results, or a stated assumption.</t>
  </si>
  <si>
    <t>Black text</t>
  </si>
  <si>
    <t>Formula computed on the same sheet.</t>
  </si>
  <si>
    <t>Profit &amp; Loss</t>
  </si>
  <si>
    <t>FY 31.03.2026</t>
  </si>
  <si>
    <t>FY 31.03.2025</t>
  </si>
  <si>
    <t>Reported (validation)</t>
  </si>
  <si>
    <t>Yellow fill</t>
  </si>
  <si>
    <t>Assumption / policy parameter - not disclosed in the results, tune as needed.</t>
  </si>
  <si>
    <t>Revenue from operations</t>
  </si>
  <si>
    <t>Other income</t>
  </si>
  <si>
    <t>Total income</t>
  </si>
  <si>
    <t>Total expenses</t>
  </si>
  <si>
    <t xml:space="preserve">  of which: Finance costs</t>
  </si>
  <si>
    <t xml:space="preserve">  of which: Depreciation &amp; amortisation</t>
  </si>
  <si>
    <t>Interest income and income from current investments (per cash flow)</t>
  </si>
  <si>
    <t>Profit before exceptional items &amp; tax</t>
  </si>
  <si>
    <t>Exceptional items (net)</t>
  </si>
  <si>
    <t>Profit before tax</t>
  </si>
  <si>
    <t>Total tax expense</t>
  </si>
  <si>
    <t>Net profit for the period</t>
  </si>
  <si>
    <t>Net finance charges (Finance costs − Interest income)</t>
  </si>
  <si>
    <t>EBITDA (company definition: PBT + Net Finance Charges + D&amp;A)</t>
  </si>
  <si>
    <t>EBITDA margin (ties to reported operating EBITDA margin)</t>
  </si>
  <si>
    <t>EBIT (company definition: row PBT + Net Finance Charges)</t>
  </si>
  <si>
    <t>Balance Sheet</t>
  </si>
  <si>
    <t>Property, plant &amp; equipment (net)</t>
  </si>
  <si>
    <t>Total assets</t>
  </si>
  <si>
    <t>Total equity</t>
  </si>
  <si>
    <t>Borrowings - non-current</t>
  </si>
  <si>
    <t>Borrowings - current</t>
  </si>
  <si>
    <t>Lease liabilities - non-current</t>
  </si>
  <si>
    <t>Lease liabilities - current</t>
  </si>
  <si>
    <t>Total debt (borrowings + lease liabilities)</t>
  </si>
  <si>
    <t>Current investments</t>
  </si>
  <si>
    <t>Cash &amp; cash equivalents</t>
  </si>
  <si>
    <t>Other balances with banks</t>
  </si>
  <si>
    <t>Net debt (company definition: row 30 − rows 31–33)</t>
  </si>
  <si>
    <t>Current assets</t>
  </si>
  <si>
    <t>Current liabilities</t>
  </si>
  <si>
    <t>Total liabilities</t>
  </si>
  <si>
    <t>Cash Flow (extracts)</t>
  </si>
  <si>
    <t>Net cash from operating activities</t>
  </si>
  <si>
    <t>Income taxes paid (net of refund)</t>
  </si>
  <si>
    <t>Interest paid</t>
  </si>
  <si>
    <t>Repayment of long-term borrowings</t>
  </si>
  <si>
    <t>Principal payment of lease liabilities</t>
  </si>
  <si>
    <t>Purchase of capital assets (capex)</t>
  </si>
  <si>
    <t>Dividend paid</t>
  </si>
  <si>
    <t>Total Comprehensive Income</t>
  </si>
  <si>
    <t>Reported Ratios - Regulation 52(4) disclosures (extracted as-is)</t>
  </si>
  <si>
    <t>FY 31.03.2026 (Reported)</t>
  </si>
  <si>
    <t>FY 31.03.2026 (Calculated)</t>
  </si>
  <si>
    <t>FY 31.03.2025 (Reported)</t>
  </si>
  <si>
    <t>FY 31.03.2025 (Calculated)</t>
  </si>
  <si>
    <t>Debt service coverage ratio (DSCR)</t>
  </si>
  <si>
    <t>Interest service coverage ratio (ISCR)</t>
  </si>
  <si>
    <t>Current ratio (company definition: CL excl. current maturities)</t>
  </si>
  <si>
    <t>Debt equity ratio (net debt / average equity)</t>
  </si>
  <si>
    <t>Total debts to total assets</t>
  </si>
  <si>
    <t>Operating EBITDA margin</t>
  </si>
  <si>
    <t>Net profit margin</t>
  </si>
  <si>
    <t>Net worth (₹ cr)</t>
  </si>
  <si>
    <t>Derived for Reconciliation</t>
  </si>
  <si>
    <t>Average equity FY26 = (FY26 + FY25 equity) / 2</t>
  </si>
  <si>
    <t>Automated Validation Checks (Area 1 rules)</t>
  </si>
  <si>
    <t>P&amp;L internal consistency: derived PBT-before-exceptional vs reported</t>
  </si>
  <si>
    <t>P&amp;L internal consistency: derived net profit vs reported</t>
  </si>
  <si>
    <t>Balance sheet identity: Assets = Equity + Total liabilities (±1%)</t>
  </si>
  <si>
    <t>Operating cash flow positive in both years</t>
  </si>
  <si>
    <t>Reconciliation Checks - derived values tie to the reported statement figures</t>
  </si>
  <si>
    <t>Computed EBITDA margin = reported operating EBITDA margin (FY26)</t>
  </si>
  <si>
    <t>Computed EBITDA margin = reported operating EBITDA margin (FY25)</t>
  </si>
  <si>
    <t>Computed net profit margin = reported net profit margin (FY26)</t>
  </si>
  <si>
    <t>Computed total debts / total assets = reported 0.25 (FY26)</t>
  </si>
  <si>
    <t>Computed net debt / average equity = reported 0.50 (FY26)</t>
  </si>
  <si>
    <t>Area 2 - Financial Analysis &amp; Interpretation</t>
  </si>
  <si>
    <t>Value extracted from the published results</t>
  </si>
  <si>
    <t>Formula computed.</t>
  </si>
  <si>
    <t>Area 2 - Overall status</t>
  </si>
  <si>
    <t>Assumption / policy parameter, tune as needed.</t>
  </si>
  <si>
    <t>Statement</t>
  </si>
  <si>
    <t>Metric</t>
  </si>
  <si>
    <t>FY2026</t>
  </si>
  <si>
    <t>FY2025</t>
  </si>
  <si>
    <t>% Change</t>
  </si>
  <si>
    <t>Interpretation/Credit View</t>
  </si>
  <si>
    <t>Threshold</t>
  </si>
  <si>
    <t>Status</t>
  </si>
  <si>
    <t>Remarks</t>
  </si>
  <si>
    <t>Industry Threshold</t>
  </si>
  <si>
    <t>Income Statement</t>
  </si>
  <si>
    <t>Revenue</t>
  </si>
  <si>
    <t>Growth in operating scale, positive for repayment capacity, Revenue Growth Range 5% to 10% is stable growth</t>
  </si>
  <si>
    <t>EBITDA Margin %</t>
  </si>
  <si>
    <t>Improving operating profitability strengthens debt servicing, EBITDA Margin 10%-15% is acceptable</t>
  </si>
  <si>
    <t>Income</t>
  </si>
  <si>
    <t>Net Profit</t>
  </si>
  <si>
    <t>Higher earnings improve internal accruals, Net Profit 10%-15% is acceptable</t>
  </si>
  <si>
    <t>Total Assets</t>
  </si>
  <si>
    <t>Asset base expanded, supports business profile, asset base expansion above 5% is acceptable</t>
  </si>
  <si>
    <t>Net Worth</t>
  </si>
  <si>
    <t>Stronger capitalisation enhances resilience, Growing 5%-15% YoY means Improved financial strength, Positive</t>
  </si>
  <si>
    <t>Cash Flow</t>
  </si>
  <si>
    <t>Operating Cash Flow</t>
  </si>
  <si>
    <t>Strong positive operating cash generation, Stable Positive OCF (±10% YoY), Sustainable operating cash generation, Satisfactory</t>
  </si>
  <si>
    <t>OCF to Debt</t>
  </si>
  <si>
    <t>The OCF-to-debt ratio of approximately 46% is considered strong and reflects substantial debt repayment capacity. 20% - 35%Good</t>
  </si>
  <si>
    <t>Total Debt</t>
  </si>
  <si>
    <t>Ratio</t>
  </si>
  <si>
    <t>Formula</t>
  </si>
  <si>
    <t>Interpretation</t>
  </si>
  <si>
    <t>Debt-Equity</t>
  </si>
  <si>
    <t>Net Debt / Avg Equity</t>
  </si>
  <si>
    <t>Key measure of leverage risk, Moderate leverage, slightly increased, 0.50x - 1.00x means Moderate leverage, Satisfactory</t>
  </si>
  <si>
    <t>DSCR</t>
  </si>
  <si>
    <t>EBIT / (Interest+Principal)</t>
  </si>
  <si>
    <t>Strong indicator of repayment ability, Above 1x, adequate debt servicing, 1.50x - 2.00x means Comfortable coverage, Good</t>
  </si>
  <si>
    <t>Interest Service Coverage ratio</t>
  </si>
  <si>
    <t>EBIT / Net Finance Charges</t>
  </si>
  <si>
    <t>Low default risk from interest burden, &gt; 8.0x means Very strong coverage, 1.5x - 3.0x means Adequate coverage - Fair, 3.0x - 5.0x means Comfortable coverage - Good</t>
  </si>
  <si>
    <t>Current Ratio</t>
  </si>
  <si>
    <t>Current Assets / Current Liabilities</t>
  </si>
  <si>
    <t>Liquidity constraint but common in steel sector, Below 1, negative working capital, &lt; 0.75x means Significant liquidity pressure - High Risk, 1.50x - 2.00x means Strong liquidity - Strong, 1.25x - 1.50x means Comfortable liquidity - Good</t>
  </si>
  <si>
    <t>Current Ratio of 0.58x indicates a constrained liquidity position and negative working capital, however, this is relatively common in the steel industry, where companies benefit from strong supplier credit, efficient inventory turnover, and rapid receivable collections. The liquidity risk is partially mitigated by Tata Steel's strong operating cash flows and debt servicing capability</t>
  </si>
  <si>
    <t>Debt/Assets</t>
  </si>
  <si>
    <t>Total Debt / Total Assets</t>
  </si>
  <si>
    <t>Shows asset protection for lenders, Stable leverage profile, &lt; 0.20x means Very low leverage - Very Strong, 0.20x - 0.40x means Conservative leverage - Strong, 0.40x - 0.60x means Moderate leverage - Satisfactory</t>
  </si>
  <si>
    <t>Debtors Days</t>
  </si>
  <si>
    <t>Avg Receivables / Sales *365</t>
  </si>
  <si>
    <t>Supports liquidity, Very fast collection cycle, &lt; 30 days means Excellent collections - Very Strong, 60 - 90 days means Acceptable collections - Satisfactory</t>
  </si>
  <si>
    <t>Inventory Days</t>
  </si>
  <si>
    <t>Avg Inventory / Cost of Sales *365</t>
  </si>
  <si>
    <t>Reduces working capital pressure, Improved inventory efficiency, &lt; 30 days means Very efficient inventory management - Very Strong, 30 - 60 days means Good inventory turnover - Strong, 60 - 90 days means Acceptable inventory holding - Satisfactory</t>
  </si>
  <si>
    <t>EBITDA / Revenue</t>
  </si>
  <si>
    <t>Higher cash generation capacity, Margins improved, 15% - 20% means Healthy profitability - Good, 20% - 25% means Strong operating performance - Strong</t>
  </si>
  <si>
    <t>Net Profit Margin %</t>
  </si>
  <si>
    <t>PAT / Revenue</t>
  </si>
  <si>
    <t>Supports internal debt repayment, Improved profitability, 10% - 15% means Healthy profitability - Good, 2% - 5% means Low profitability - Weak</t>
  </si>
  <si>
    <t>Step</t>
  </si>
  <si>
    <t>What happens</t>
  </si>
  <si>
    <t>Rule</t>
  </si>
  <si>
    <t>Engine computes DSCR, Debt-to-Equity, ICR, Current Ratio and Debt/EBITDA from the signed-off Area 1 data.</t>
  </si>
  <si>
    <t>DSCR should be above minimum threshold (1.25x)</t>
  </si>
  <si>
    <t>Each ratio is compared to its threshold, with the industry overlay applied (a manufacturing borrower is judged against manufacturing bands).</t>
  </si>
  <si>
    <t>Debt-to-Equity = Total Debt / Net Worth. should be under minimum threshold.</t>
  </si>
  <si>
    <t>Trend rules run across the 3-year lines; each green flag returns YES/NO; all four YES = 'Positive trend'.</t>
  </si>
  <si>
    <t>Interest Coverage Ratio = EBIT / Interest Expense. Should be above minimum threshold</t>
  </si>
  <si>
    <t>The stress case reruns DSCR with the stressed inputs; PASS requires stressed DSCR ≥ 1.25x.</t>
  </si>
  <si>
    <t>Current Ratio = Current Assets / Current Liabilities</t>
  </si>
  <si>
    <t>Results go to the ratio dashboard (pass/watch/fail colouring) and to the narrative layer, which drafts the interpretation for the analyst to edit.</t>
  </si>
  <si>
    <t>(Short Term + Long Term Debt) / EBITDA (2–3x moderate, 4–5x risky)</t>
  </si>
  <si>
    <t>Trend Analysis: revenue growth rate should be above minimum threshold (e.g. ≥ 5% each of last 2 years)</t>
  </si>
  <si>
    <t>Trend Analysis: Debt lower each year-end</t>
  </si>
  <si>
    <t>Trend Analysis: Operating Cash Flow positive all 3 years</t>
  </si>
  <si>
    <t>qualitative factors such as management quality, industry outlook left with the analyst. The system covers only the quantitative layer.</t>
  </si>
  <si>
    <t>Area 3 - Risk Scoring</t>
  </si>
  <si>
    <t>Score</t>
  </si>
  <si>
    <t>Definition</t>
  </si>
  <si>
    <t>Risk Interpretation</t>
  </si>
  <si>
    <t>Excellent</t>
  </si>
  <si>
    <t>Very Low Risk</t>
  </si>
  <si>
    <t>Good</t>
  </si>
  <si>
    <t>Low Risk</t>
  </si>
  <si>
    <t>Average</t>
  </si>
  <si>
    <t>Moderate Risk</t>
  </si>
  <si>
    <t>Weak</t>
  </si>
  <si>
    <t>Elevated Risk</t>
  </si>
  <si>
    <t>Poor</t>
  </si>
  <si>
    <t>High Risk</t>
  </si>
  <si>
    <t>Area 3 - Overall status</t>
  </si>
  <si>
    <t>Parameter</t>
  </si>
  <si>
    <t>Weight %</t>
  </si>
  <si>
    <t>Score (1-5)</t>
  </si>
  <si>
    <t>Weighted Score</t>
  </si>
  <si>
    <t>Formula/Basis</t>
  </si>
  <si>
    <t>Credit Review Contribution</t>
  </si>
  <si>
    <t>Financial Strength</t>
  </si>
  <si>
    <t>Profitability, Net Worth Growth, OCF</t>
  </si>
  <si>
    <t>Strong earnings, Net Profit growth 15%, net worth growth 7.1%, OCF up 36%</t>
  </si>
  <si>
    <t>Primary indicator of repayment capacity</t>
  </si>
  <si>
    <t>Industry Risk</t>
  </si>
  <si>
    <t>Steel industry cyclicality</t>
  </si>
  <si>
    <t>Moderate risk due to commodity price cycles</t>
  </si>
  <si>
    <t>Industry stability affects future cash flows</t>
  </si>
  <si>
    <t>Management Quality</t>
  </si>
  <si>
    <t>Tata Group governance, market position</t>
  </si>
  <si>
    <t>Experienced management and strong governance</t>
  </si>
  <si>
    <t>Supports strategic execution and lender confidence</t>
  </si>
  <si>
    <t>Leverage</t>
  </si>
  <si>
    <t>Debt/Equity 0.50x, Debt/Assets 0.25x</t>
  </si>
  <si>
    <t>Conservative leverage profile</t>
  </si>
  <si>
    <t>Measures solvency and financial flexibility</t>
  </si>
  <si>
    <t>Liquidity</t>
  </si>
  <si>
    <t>Current Ratio 0.58x</t>
  </si>
  <si>
    <t>Weak liquidity but mitigated by strong operating cash flows</t>
  </si>
  <si>
    <t>Assesses short-term repayment ability</t>
  </si>
  <si>
    <t>Debt Service Capacity</t>
  </si>
  <si>
    <t>DSCR 2.85x, ICR 8.08x</t>
  </si>
  <si>
    <t>Strong debt servicing capability</t>
  </si>
  <si>
    <t>Key repayment-risk metric</t>
  </si>
  <si>
    <t>Collateral/Asset Coverage</t>
  </si>
  <si>
    <t>Net Worth 132,345 Cr, Total Assets 272,747 Cr</t>
  </si>
  <si>
    <t>Large asset base and equity cushion</t>
  </si>
  <si>
    <t>Provides lender recovery support</t>
  </si>
  <si>
    <t>Business Position</t>
  </si>
  <si>
    <t>Market leadership and diversification</t>
  </si>
  <si>
    <t>Strong competitive position</t>
  </si>
  <si>
    <t>Reduces business risk</t>
  </si>
  <si>
    <t>Total Weight</t>
  </si>
  <si>
    <t>Total Weighted Score</t>
  </si>
  <si>
    <t>Risk Grade</t>
  </si>
  <si>
    <t>Financial Strength Scoring - FY 31.03.2026</t>
  </si>
  <si>
    <t>Value</t>
  </si>
  <si>
    <t>Policy band coded (1 = weakest, 5 = strongest)</t>
  </si>
  <si>
    <t>Weight</t>
  </si>
  <si>
    <t>Contribution</t>
  </si>
  <si>
    <t>DSCR (reported)</t>
  </si>
  <si>
    <t>≥2.0x→5, 1.5–2.0x→4,  1.25–1.5x→3, 1.0–1.25x→2, &lt;1.0x→1</t>
  </si>
  <si>
    <t>ISCR (reported)</t>
  </si>
  <si>
    <t>≥3x→5, 2–3x→3, 1–2x→2, &lt;1x→1</t>
  </si>
  <si>
    <t>Current Ratio (reported)</t>
  </si>
  <si>
    <t>≥1.5→5, 1.2–1.5→3, 1.0–1.2→2, &lt;1.0→1</t>
  </si>
  <si>
    <t>Debt-to-Equity (reported basis)</t>
  </si>
  <si>
    <t>≤1.0x→4, 1–2x→3, 2–3x→2, &gt;3x→1</t>
  </si>
  <si>
    <t>Weighted score</t>
  </si>
  <si>
    <t>Sum of (component score × weight), weights must total 100%</t>
  </si>
  <si>
    <t>Area 4 - Covenant Monitoring</t>
  </si>
  <si>
    <t>Headroom % = (Actual−Threshold)/Threshold for minimum covenants, reversed for maximum. RAG: &gt;20% Green; 5–20% Amber; &lt;5% or breach Red.</t>
  </si>
  <si>
    <t>Covenant</t>
  </si>
  <si>
    <t>Actual</t>
  </si>
  <si>
    <t>Headroom</t>
  </si>
  <si>
    <t>RAG status</t>
  </si>
  <si>
    <t>DSCR, reported basis (minimum)</t>
  </si>
  <si>
    <t>ISCR, reported basis (minimum)</t>
  </si>
  <si>
    <t>Overall Status</t>
  </si>
  <si>
    <t>Area 5 - Collateral Assessment</t>
  </si>
  <si>
    <t>Collateral Type</t>
  </si>
  <si>
    <t>Typical Haircut</t>
  </si>
  <si>
    <t>Cash &amp; Bank Deposits</t>
  </si>
  <si>
    <t>0%-10%</t>
  </si>
  <si>
    <t>Government Securities</t>
  </si>
  <si>
    <t>5%-15%</t>
  </si>
  <si>
    <t>Listed Investments</t>
  </si>
  <si>
    <t>20%-40%</t>
  </si>
  <si>
    <t>Trade Receivables</t>
  </si>
  <si>
    <t>25%-50%</t>
  </si>
  <si>
    <t>Inventory</t>
  </si>
  <si>
    <t>40%-60%</t>
  </si>
  <si>
    <t>Plant &amp; Machinery</t>
  </si>
  <si>
    <t>Real Estate</t>
  </si>
  <si>
    <t>25%-40%</t>
  </si>
  <si>
    <t>Area 5 - Overall status</t>
  </si>
  <si>
    <t>Book Value (Rs Cr)</t>
  </si>
  <si>
    <t>Haircut %</t>
  </si>
  <si>
    <t>Adjusted Value (Rs Cr)</t>
  </si>
  <si>
    <t>Security Rank</t>
  </si>
  <si>
    <t>Assessment</t>
  </si>
  <si>
    <t>Credit Relevance</t>
  </si>
  <si>
    <t>Cash &amp; Bank Balances</t>
  </si>
  <si>
    <t>High</t>
  </si>
  <si>
    <t>Primary</t>
  </si>
  <si>
    <t>Excellent collateral</t>
  </si>
  <si>
    <t>Immediate repayment source</t>
  </si>
  <si>
    <t>Investments</t>
  </si>
  <si>
    <t>Medium-High</t>
  </si>
  <si>
    <t>Market value sensitive</t>
  </si>
  <si>
    <t>Strong secondary support</t>
  </si>
  <si>
    <t>Medium</t>
  </si>
  <si>
    <t>Good quality receivables</t>
  </si>
  <si>
    <t>Supports working capital facilities</t>
  </si>
  <si>
    <t>Subject to price volatility</t>
  </si>
  <si>
    <t>Moderate collateral support</t>
  </si>
  <si>
    <t>Property Plant &amp; Equipment</t>
  </si>
  <si>
    <t>Low</t>
  </si>
  <si>
    <t>Fixed Charge</t>
  </si>
  <si>
    <t>Large tangible asset base</t>
  </si>
  <si>
    <t>Strong recovery support</t>
  </si>
  <si>
    <t>Total Adjusted Collateral Value</t>
  </si>
  <si>
    <t>Assumed Debt Exposure (Rs Cr)</t>
  </si>
  <si>
    <t>Collateral Coverage Ratio</t>
  </si>
  <si>
    <t>Collateral Rating</t>
  </si>
  <si>
    <t>Credit View</t>
  </si>
  <si>
    <t>&gt;125</t>
  </si>
  <si>
    <t>Collateral value substantially exceeds the credit exposure. Provides a strong recovery cushion in a default scenario and reduces loss-given-default (LGD)</t>
  </si>
  <si>
    <t>Low collateral risk</t>
  </si>
  <si>
    <t>100-125</t>
  </si>
  <si>
    <t>Collateral adequately covers the outstanding exposure. Recovery prospects are reasonable, though the cushion against valuation fluctuations is limited</t>
  </si>
  <si>
    <t>Moderate collateral risk</t>
  </si>
  <si>
    <t>&lt;100</t>
  </si>
  <si>
    <t>Collateral value is insufficient to fully cover the credit exposure. Lenders may face recovery shortfalls in the event of default. Additional security, guarantees, or stronger financial covenants may be required.</t>
  </si>
  <si>
    <t>High collateral risk</t>
  </si>
  <si>
    <t>Area 6 - Proposed Loan Impact &amp; Limit Recommendation (₹ crore)</t>
  </si>
  <si>
    <t>Proposed Facility</t>
  </si>
  <si>
    <t>Term loan amount requested</t>
  </si>
  <si>
    <t>Interest rate (p.a.)</t>
  </si>
  <si>
    <t>Tenor (years, equal annual instalments)</t>
  </si>
  <si>
    <t>Annual instalment (annuity)</t>
  </si>
  <si>
    <t>Repayment (Amortization) Schedule</t>
  </si>
  <si>
    <t>Year</t>
  </si>
  <si>
    <t>Opening balance</t>
  </si>
  <si>
    <t>Interest (8%)</t>
  </si>
  <si>
    <t>Principal</t>
  </si>
  <si>
    <t>Closing balance</t>
  </si>
  <si>
    <t>Position after assuming that the proposed loan has been disbursed</t>
  </si>
  <si>
    <t>Implied existing debt-service denominator (EBIT/reported DSCR)</t>
  </si>
  <si>
    <t>New loan instalment</t>
  </si>
  <si>
    <t>Total pro-forma debt service</t>
  </si>
  <si>
    <t>Interpretation:After the new facility, Company's estimated annual debt-servicing requirement increases from approximately 9,111 cr. to 10,363 cr.</t>
  </si>
  <si>
    <t>EBIT</t>
  </si>
  <si>
    <t>Pro-forma DSCR</t>
  </si>
  <si>
    <t>Policy minimum DSCR</t>
  </si>
  <si>
    <t>Pro-forma DSCR status (≥ 1.5x)</t>
  </si>
  <si>
    <t>PASS</t>
  </si>
  <si>
    <t>Credit Conclusion - The 5,000 cr. loan appears serviceable on the workbook’s pro-forma assumptions.</t>
  </si>
  <si>
    <t>Maximum serviceable total debt service</t>
  </si>
  <si>
    <t>Available additional annual debt service</t>
  </si>
  <si>
    <t>Capacity cap: max additional loan at 8% / 5 yrs</t>
  </si>
  <si>
    <t>Limit Recommendation (MIN of caps)</t>
  </si>
  <si>
    <t>(a) Requested amount</t>
  </si>
  <si>
    <t>(b) Capacity cap (from above)</t>
  </si>
  <si>
    <t>Recommended limit = MIN(a, b)</t>
  </si>
  <si>
    <t>Conclusion</t>
  </si>
  <si>
    <t>Area 7 - Continuous Monitoring &amp; Early Warning Signals</t>
  </si>
  <si>
    <t>Trigger</t>
  </si>
  <si>
    <t>Threshold (configurable)</t>
  </si>
  <si>
    <t>Computed value</t>
  </si>
  <si>
    <t>Revenue decline YoY</t>
  </si>
  <si>
    <t>Total debt increase YoY</t>
  </si>
  <si>
    <t>Reported DSCR deterioration YoY</t>
  </si>
  <si>
    <t>Any covenant on Amber/Red</t>
  </si>
  <si>
    <t>≥ 1 → watch list</t>
  </si>
  <si>
    <t>External rating downgrade</t>
  </si>
  <si>
    <t>Any downgrade → watch list</t>
  </si>
  <si>
    <t>No Change</t>
  </si>
  <si>
    <t>Adverse news / qualitative disclosure</t>
  </si>
  <si>
    <t>Material adverse item → Amber, analyst verifies</t>
  </si>
  <si>
    <t>Area 8 - Portfolio Monitoring</t>
  </si>
  <si>
    <t>Area 8 - Overall status</t>
  </si>
  <si>
    <t>Assessment Range</t>
  </si>
  <si>
    <t>Portfolio Segment</t>
  </si>
  <si>
    <t>Input value</t>
  </si>
  <si>
    <t>Manufacturing</t>
  </si>
  <si>
    <t>N/A</t>
  </si>
  <si>
    <t>Industry portfolio under review</t>
  </si>
  <si>
    <t>Total Portfolio Exposure (Rs Cr)</t>
  </si>
  <si>
    <t>Existing portfolio exposure</t>
  </si>
  <si>
    <t>Number of Accounts</t>
  </si>
  <si>
    <t>Portfolio diversification measure</t>
  </si>
  <si>
    <t>Average Exposure per Account</t>
  </si>
  <si>
    <t>Portfolio Exposure / Accounts</t>
  </si>
  <si>
    <t>Lower is better</t>
  </si>
  <si>
    <t>Measures concentration per account</t>
  </si>
  <si>
    <t>Proposed Loan Amount (Rs Cr)</t>
  </si>
  <si>
    <t>Requested exposure</t>
  </si>
  <si>
    <t>Borrower Concentration %</t>
  </si>
  <si>
    <t>Loan/Portfolio Exposure</t>
  </si>
  <si>
    <t>&lt;5% Strong; 5-10% Moderate; &gt;10% High</t>
  </si>
  <si>
    <t>Concentration risk indicator. The proposed exposure of ₹5,000 Cr represents 5.0% of the existing portfolio, indicating moderate concentration risk</t>
  </si>
  <si>
    <t>Gross NPL (Rs Cr)</t>
  </si>
  <si>
    <t>Non-performing exposure</t>
  </si>
  <si>
    <t>Gross NPL Ratio %</t>
  </si>
  <si>
    <t>NPL/Portfolio Exposure</t>
  </si>
  <si>
    <t>&lt;2% Low; 2-5% Moderate; &gt;5% High</t>
  </si>
  <si>
    <t>Asset quality indicator</t>
  </si>
  <si>
    <t>Portfolio Exposure Post Sanction</t>
  </si>
  <si>
    <t>Exposure+Loan</t>
  </si>
  <si>
    <t>Revised portfolio size</t>
  </si>
  <si>
    <t>Single Borrower Exposure %</t>
  </si>
  <si>
    <t>Loan/Post Exposure</t>
  </si>
  <si>
    <t>&lt;5% Low; 5-10% Moderate; &gt;10% High</t>
  </si>
  <si>
    <t>Borrower concentration after sanction</t>
  </si>
  <si>
    <t>Criteria</t>
  </si>
  <si>
    <t>Non Performing Loan%</t>
  </si>
  <si>
    <t>Borrower Concentration Risk</t>
  </si>
  <si>
    <t>Manufacturing Sector Exposure</t>
  </si>
  <si>
    <t>Scale</t>
  </si>
  <si>
    <t>Portfolio Health</t>
  </si>
  <si>
    <t>Sector Concentration (Manufacturing)</t>
  </si>
  <si>
    <t>&lt;2%</t>
  </si>
  <si>
    <t>&lt;5%</t>
  </si>
  <si>
    <t>&lt;20%</t>
  </si>
  <si>
    <t>2%-5%</t>
  </si>
  <si>
    <t>Moderate</t>
  </si>
  <si>
    <t>5%-10%</t>
  </si>
  <si>
    <t>20%-30%</t>
  </si>
  <si>
    <t>&gt;5%</t>
  </si>
  <si>
    <t>&gt;10%</t>
  </si>
  <si>
    <t>&gt;30%</t>
  </si>
  <si>
    <t>Area 9 - Credit Memo: Summary</t>
  </si>
  <si>
    <t>Credit Opinion: Stable to Positive
Revenue growth, improved EBITDA margins and stronger operating cash flow support credit quality.
Net worth increased and debt/assets remained stable.
Key concern remains weak current ratio and negative working capital.
Interest coverage (8.08x) and DSCR (2.85x) indicate comfortable debt servicing capacity.
Overall assessment: Strong investment-grade operating profile with adequate liquidity and robust cash generation."</t>
  </si>
  <si>
    <t>Overall Weighted Score: 3.8/5.00. Recommended Credit View: MODERATE TO LOW RISK. Strengths include strong profitability, cash flow generation, asset coverage and debt servicing metrics. Key risk factor is weak current ratio and cyclical steel industry exposure. Overall credit profile remains acceptable for lending subject to normal monitoring.</t>
  </si>
  <si>
    <t>The reported financial covenants remain comfortably compliant. DSCR of 2.85x provides 90% headroom over the 1.5x minimum, while ISCR of 8.08x provides 304% headroom over the 2.00x minimum; both are currently rated Green.</t>
  </si>
  <si>
    <t>Area 5 - Collateral Assessment Summary</t>
  </si>
  <si>
    <t>Tata Steel benefits from substantial collateral support from PPE, investments, inventory and receivables. After applying conservative haircuts, adjusted collateral value provides strong coverage to estimated debt obligations. Large asset base and equity support lender recovery prospects.</t>
  </si>
  <si>
    <t>The proposed 5,000cr. term loan is serviceable under the model assumptions. The new annual instalment is approximately 1,252cr., increasing estimated annual debt service from 9,111cr. to 10,363cr. Pro-forma DSCR is estimated at 2.51x, above the 1.50x policy minimum. At the same minimum DSCR, available additional annual debt-service capacity is approximately 8,200cr., applying the five-year annuity factor at 8% produces a capacity cap of approximately 32,741cr. Since the requested amount of 5,000cr. is below this cap, the recommended limit is 5,000cr.</t>
  </si>
  <si>
    <t>Area 7 - Continuous Monitoring</t>
  </si>
  <si>
    <t>All continuous-monitoring indicators are within the defined thresholds. Revenue grew by 5.4% against a trigger of more than 10% decline, total debt increased by 9.2% against the permitted threshold of 15%, and DSCR deterioration of 25.4% remained within the 35% threshold. No covenant is currently Amber or Red. Assuming no external credit-rating downgrade or adverse news, the overall continuous-monitoring status is PASS.</t>
  </si>
  <si>
    <t>The proposed Rs 5,000 crore exposure represents a moderate concentration level relative to the existing manufacturing portfolio. Asset quality remains acceptable with a moderate NPL ratio. Overall portfolio capacity appears adequate to accommodate the proposed facility, subject to ongoing monitoring of concentration and sector risk.</t>
  </si>
  <si>
    <t>Business Analysis</t>
  </si>
  <si>
    <t>Limit setting of consortium banks - basis repayment capcbility</t>
  </si>
  <si>
    <t>Banking Analysis - monitor the txn of client</t>
  </si>
  <si>
    <t>Review Company abckground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</si>
</sst>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0\);\-"/>
    <numFmt numFmtId="166" formatCode="0.0%"/>
    <numFmt numFmtId="167" formatCode="0.00\x"/>
    <numFmt numFmtId="168" formatCode="_ * #,##0_ ;_ * \-#,##0_ ;_ * &quot;-&quot;??_ ;_ @_ "/>
  </numFmts>
  <fonts count="22">
    <font>
      <sz val="11"/>
      <color theme="1"/>
      <name val="Aptos Narrow"/>
      <family val="2"/>
      <scheme val="minor"/>
    </font>
    <font>
      <sz val="11"/>
      <color theme="1"/>
      <name val="Aptos Narrow"/>
      <family val="2"/>
      <scheme val="minor"/>
    </font>
    <font>
      <sz val="11"/>
      <color theme="1"/>
      <name val="Calibri"/>
      <family val="2"/>
      <charset val="1"/>
    </font>
    <font>
      <b/>
      <sz val="14"/>
      <color rgb="FF1F4E79"/>
      <name val="Aptos Narrow"/>
      <family val="2"/>
      <scheme val="minor"/>
    </font>
    <font>
      <b/>
      <sz val="11"/>
      <color rgb="FF000000"/>
      <name val="Aptos Narrow"/>
      <family val="2"/>
      <scheme val="minor"/>
    </font>
    <font>
      <b/>
      <sz val="11"/>
      <name val="Aptos Narrow"/>
      <family val="2"/>
      <scheme val="minor"/>
    </font>
    <font>
      <b/>
      <sz val="10"/>
      <name val="Aptos Narrow"/>
      <family val="2"/>
      <scheme val="minor"/>
    </font>
    <font>
      <sz val="10"/>
      <name val="Aptos Narrow"/>
      <family val="2"/>
      <scheme val="minor"/>
    </font>
    <font>
      <sz val="10"/>
      <color rgb="FF0000FF"/>
      <name val="Aptos Narrow"/>
      <family val="2"/>
      <scheme val="minor"/>
    </font>
    <font>
      <sz val="10"/>
      <color rgb="FF000000"/>
      <name val="Aptos Narrow"/>
      <family val="2"/>
      <scheme val="minor"/>
    </font>
    <font>
      <i/>
      <sz val="9"/>
      <color rgb="FF595959"/>
      <name val="Aptos Narrow"/>
      <family val="2"/>
      <scheme val="minor"/>
    </font>
    <font>
      <sz val="11"/>
      <color rgb="FF006100"/>
      <name val="Aptos Narrow"/>
      <family val="2"/>
      <scheme val="minor"/>
    </font>
    <font>
      <b/>
      <sz val="11"/>
      <color theme="1"/>
      <name val="Aptos Narrow"/>
      <family val="2"/>
      <scheme val="minor"/>
    </font>
    <font>
      <sz val="11"/>
      <color theme="1"/>
      <name val="Calibri"/>
      <family val="2"/>
    </font>
    <font>
      <b/>
      <sz val="11"/>
      <color rgb="FF000000"/>
      <name val="Calibri"/>
      <family val="2"/>
    </font>
    <font>
      <b/>
      <sz val="10"/>
      <name val="Arial"/>
      <family val="2"/>
    </font>
    <font>
      <sz val="10"/>
      <color rgb="FF000000"/>
      <name val="Arial"/>
      <family val="2"/>
    </font>
    <font>
      <sz val="10"/>
      <name val="Arial"/>
      <family val="2"/>
    </font>
    <font>
      <sz val="11"/>
      <color rgb="FF0000FF"/>
      <name val="Aptos Narrow"/>
      <family val="2"/>
      <scheme val="minor"/>
    </font>
    <font>
      <sz val="11"/>
      <name val="Aptos Narrow"/>
      <family val="2"/>
      <scheme val="minor"/>
    </font>
    <font>
      <b/>
      <sz val="11"/>
      <color rgb="FF1F4E79"/>
      <name val="Aptos Narrow"/>
      <family val="2"/>
      <scheme val="minor"/>
    </font>
    <font>
      <sz val="11"/>
      <color rgb="FF000000"/>
      <name val="Aptos Narrow"/>
      <family val="2"/>
      <scheme val="minor"/>
    </font>
  </fonts>
  <fills count="10">
    <fill>
      <patternFill patternType="none"/>
    </fill>
    <fill>
      <patternFill patternType="gray125"/>
    </fill>
    <fill>
      <patternFill patternType="solid">
        <fgColor rgb="FFC6E0B4"/>
        <bgColor rgb="FFCCFFCC"/>
      </patternFill>
    </fill>
    <fill>
      <patternFill patternType="solid">
        <fgColor rgb="FFDDEBF7"/>
        <bgColor rgb="FFCCFFFF"/>
      </patternFill>
    </fill>
    <fill>
      <patternFill patternType="solid">
        <fgColor rgb="FFDDEBF7"/>
        <bgColor indexed="64"/>
      </patternFill>
    </fill>
    <fill>
      <patternFill patternType="solid">
        <fgColor rgb="FFC6EFCE"/>
      </patternFill>
    </fill>
    <fill>
      <patternFill patternType="solid">
        <fgColor theme="2" tint="-9.9978637043366805E-2"/>
        <bgColor indexed="64"/>
      </patternFill>
    </fill>
    <fill>
      <patternFill patternType="solid">
        <fgColor rgb="FFFFFF00"/>
        <bgColor rgb="FFFFFF00"/>
      </patternFill>
    </fill>
    <fill>
      <patternFill patternType="solid">
        <fgColor theme="0"/>
        <bgColor indexed="64"/>
      </patternFill>
    </fill>
    <fill>
      <patternFill patternType="solid">
        <fgColor rgb="FFFFFF00"/>
        <bgColor indexed="64"/>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medium">
        <color rgb="FF808080"/>
      </left>
      <right style="medium">
        <color rgb="FF808080"/>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164" fontId="1" fillId="0" borderId="0" applyFont="0" applyFill="0" applyBorder="0" applyAlignment="0" applyProtection="0"/>
    <xf numFmtId="9" fontId="1" fillId="0" borderId="0" applyFont="0" applyFill="0" applyBorder="0" applyAlignment="0" applyProtection="0"/>
    <xf numFmtId="0" fontId="11" fillId="5" borderId="0" applyNumberFormat="0" applyBorder="0" applyAlignment="0" applyProtection="0"/>
  </cellStyleXfs>
  <cellXfs count="145">
    <xf numFmtId="0" fontId="0" fillId="0" borderId="0" xfId="0"/>
    <xf numFmtId="0" fontId="3" fillId="0" borderId="0" xfId="1" applyFont="1" applyAlignment="1">
      <alignment horizontal="left" vertical="center"/>
    </xf>
    <xf numFmtId="0" fontId="4" fillId="4" borderId="2" xfId="0" applyFont="1" applyFill="1" applyBorder="1" applyAlignment="1">
      <alignment vertical="center" wrapText="1"/>
    </xf>
    <xf numFmtId="0" fontId="0" fillId="0" borderId="4" xfId="0" applyBorder="1" applyAlignment="1">
      <alignment vertical="center" wrapText="1"/>
    </xf>
    <xf numFmtId="0" fontId="14" fillId="4" borderId="2" xfId="0" applyFont="1" applyFill="1" applyBorder="1" applyAlignment="1">
      <alignment vertical="center" wrapText="1"/>
    </xf>
    <xf numFmtId="0" fontId="14" fillId="4" borderId="3" xfId="0" applyFont="1" applyFill="1" applyBorder="1" applyAlignment="1">
      <alignment vertical="center" wrapText="1"/>
    </xf>
    <xf numFmtId="0" fontId="13" fillId="0" borderId="5" xfId="0" applyFont="1" applyBorder="1" applyAlignment="1">
      <alignment vertical="center" wrapText="1"/>
    </xf>
    <xf numFmtId="0" fontId="13" fillId="0" borderId="4" xfId="0" applyFont="1" applyBorder="1" applyAlignment="1">
      <alignment horizontal="center" vertical="center" wrapText="1"/>
    </xf>
    <xf numFmtId="0" fontId="0" fillId="0" borderId="0" xfId="0" applyAlignment="1">
      <alignment horizontal="center"/>
    </xf>
    <xf numFmtId="0" fontId="0" fillId="0" borderId="6" xfId="0" applyBorder="1"/>
    <xf numFmtId="0" fontId="0" fillId="0" borderId="6" xfId="0" applyBorder="1" applyAlignment="1">
      <alignment horizontal="center"/>
    </xf>
    <xf numFmtId="0" fontId="3" fillId="0" borderId="0" xfId="1" applyFont="1" applyAlignment="1">
      <alignment vertical="center"/>
    </xf>
    <xf numFmtId="0" fontId="1" fillId="0" borderId="0" xfId="1" applyFont="1" applyAlignment="1">
      <alignment vertical="center"/>
    </xf>
    <xf numFmtId="0" fontId="6" fillId="0" borderId="0" xfId="1" applyFont="1" applyAlignment="1">
      <alignment vertical="center"/>
    </xf>
    <xf numFmtId="0" fontId="10" fillId="0" borderId="0" xfId="1" applyFont="1" applyAlignment="1">
      <alignment vertical="center"/>
    </xf>
    <xf numFmtId="0" fontId="8" fillId="0" borderId="1" xfId="1" applyFont="1" applyBorder="1" applyAlignment="1">
      <alignment vertical="center"/>
    </xf>
    <xf numFmtId="0" fontId="7" fillId="0" borderId="1" xfId="1" applyFont="1" applyBorder="1" applyAlignment="1">
      <alignment vertical="center"/>
    </xf>
    <xf numFmtId="0" fontId="9" fillId="0" borderId="1" xfId="1" applyFont="1" applyBorder="1" applyAlignment="1">
      <alignment vertical="center"/>
    </xf>
    <xf numFmtId="0" fontId="5" fillId="2" borderId="1" xfId="1" applyFont="1" applyFill="1" applyBorder="1" applyAlignment="1">
      <alignment vertical="center"/>
    </xf>
    <xf numFmtId="0" fontId="6" fillId="2" borderId="1" xfId="1" applyFont="1" applyFill="1" applyBorder="1" applyAlignment="1">
      <alignment horizontal="right" vertical="center"/>
    </xf>
    <xf numFmtId="0" fontId="7" fillId="7" borderId="1" xfId="1" applyFont="1" applyFill="1" applyBorder="1" applyAlignment="1">
      <alignment vertical="center"/>
    </xf>
    <xf numFmtId="0" fontId="7" fillId="0" borderId="1" xfId="1" applyFont="1" applyBorder="1" applyAlignment="1">
      <alignment vertical="center" wrapText="1"/>
    </xf>
    <xf numFmtId="165" fontId="8" fillId="0" borderId="1" xfId="1" applyNumberFormat="1" applyFont="1" applyBorder="1" applyAlignment="1">
      <alignment vertical="center"/>
    </xf>
    <xf numFmtId="165" fontId="9" fillId="0" borderId="1" xfId="1" applyNumberFormat="1" applyFont="1" applyBorder="1" applyAlignment="1">
      <alignment vertical="center"/>
    </xf>
    <xf numFmtId="165" fontId="6" fillId="0" borderId="1" xfId="1" applyNumberFormat="1" applyFont="1" applyBorder="1" applyAlignment="1">
      <alignment vertical="center"/>
    </xf>
    <xf numFmtId="0" fontId="1" fillId="2" borderId="1" xfId="1" applyFont="1" applyFill="1" applyBorder="1" applyAlignment="1">
      <alignment vertical="center"/>
    </xf>
    <xf numFmtId="0" fontId="6" fillId="0" borderId="1" xfId="1" applyFont="1" applyBorder="1" applyAlignment="1">
      <alignment horizontal="right" vertical="center"/>
    </xf>
    <xf numFmtId="164" fontId="18" fillId="0" borderId="1" xfId="2" applyFont="1" applyBorder="1" applyAlignment="1">
      <alignment vertical="center"/>
    </xf>
    <xf numFmtId="0" fontId="1" fillId="0" borderId="0" xfId="0" applyFont="1" applyAlignment="1">
      <alignment vertical="center"/>
    </xf>
    <xf numFmtId="0" fontId="1" fillId="0" borderId="0" xfId="0" applyFont="1" applyAlignment="1">
      <alignment vertical="center" wrapText="1"/>
    </xf>
    <xf numFmtId="0" fontId="12" fillId="6" borderId="6" xfId="0" applyFont="1" applyFill="1" applyBorder="1" applyAlignment="1">
      <alignment horizontal="center" vertical="center"/>
    </xf>
    <xf numFmtId="0" fontId="1" fillId="0" borderId="6" xfId="0" applyFont="1" applyBorder="1" applyAlignment="1">
      <alignment horizontal="center" vertical="center"/>
    </xf>
    <xf numFmtId="0" fontId="12" fillId="8" borderId="0" xfId="0" applyFont="1" applyFill="1" applyAlignment="1">
      <alignment horizontal="center" vertical="center"/>
    </xf>
    <xf numFmtId="0" fontId="12" fillId="6" borderId="6" xfId="0" applyFont="1" applyFill="1" applyBorder="1" applyAlignment="1">
      <alignment horizontal="center" vertical="center" wrapText="1"/>
    </xf>
    <xf numFmtId="0" fontId="12" fillId="6" borderId="7" xfId="0" applyFont="1" applyFill="1" applyBorder="1" applyAlignment="1">
      <alignment horizontal="center" vertical="center"/>
    </xf>
    <xf numFmtId="0" fontId="1" fillId="0" borderId="6" xfId="0" applyFont="1" applyBorder="1" applyAlignment="1">
      <alignment vertical="center"/>
    </xf>
    <xf numFmtId="9" fontId="1" fillId="0" borderId="6" xfId="3" applyFont="1" applyBorder="1" applyAlignment="1">
      <alignment vertical="center"/>
    </xf>
    <xf numFmtId="0" fontId="1" fillId="0" borderId="6" xfId="0" applyFont="1" applyBorder="1" applyAlignment="1">
      <alignment vertical="center" wrapText="1"/>
    </xf>
    <xf numFmtId="9" fontId="1" fillId="9" borderId="6" xfId="0" applyNumberFormat="1" applyFont="1" applyFill="1" applyBorder="1" applyAlignment="1">
      <alignment vertical="center"/>
    </xf>
    <xf numFmtId="0" fontId="1" fillId="0" borderId="7" xfId="0" applyFont="1" applyBorder="1" applyAlignment="1">
      <alignment vertical="center"/>
    </xf>
    <xf numFmtId="0" fontId="1" fillId="0" borderId="7" xfId="0" applyFont="1" applyBorder="1" applyAlignment="1">
      <alignment vertical="center" wrapText="1"/>
    </xf>
    <xf numFmtId="0" fontId="18" fillId="0" borderId="6" xfId="0" applyFont="1" applyBorder="1" applyAlignment="1">
      <alignment vertical="center"/>
    </xf>
    <xf numFmtId="0" fontId="1" fillId="9" borderId="7" xfId="0" applyFont="1" applyFill="1" applyBorder="1" applyAlignment="1">
      <alignment vertical="center"/>
    </xf>
    <xf numFmtId="10" fontId="9" fillId="0" borderId="1" xfId="1" applyNumberFormat="1" applyFont="1" applyBorder="1" applyAlignment="1">
      <alignment vertical="center"/>
    </xf>
    <xf numFmtId="0" fontId="17" fillId="0" borderId="1" xfId="0" applyFont="1" applyBorder="1" applyAlignment="1">
      <alignment vertical="center" wrapText="1"/>
    </xf>
    <xf numFmtId="0" fontId="17" fillId="0" borderId="1" xfId="0" applyFont="1" applyBorder="1" applyAlignment="1">
      <alignment vertical="center"/>
    </xf>
    <xf numFmtId="0" fontId="15" fillId="0" borderId="1" xfId="0" applyFont="1"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6" xfId="0" applyBorder="1" applyAlignment="1">
      <alignment horizontal="center" vertical="center"/>
    </xf>
    <xf numFmtId="0" fontId="0" fillId="0" borderId="6" xfId="0" applyBorder="1" applyAlignment="1">
      <alignment vertical="center"/>
    </xf>
    <xf numFmtId="0" fontId="0" fillId="9" borderId="6" xfId="0" applyFill="1" applyBorder="1" applyAlignment="1">
      <alignment vertical="center"/>
    </xf>
    <xf numFmtId="0" fontId="0" fillId="0" borderId="6" xfId="0" applyBorder="1" applyAlignment="1">
      <alignment vertical="center" wrapText="1"/>
    </xf>
    <xf numFmtId="0" fontId="12" fillId="0" borderId="8" xfId="0" applyFont="1" applyBorder="1" applyAlignment="1">
      <alignment vertical="center"/>
    </xf>
    <xf numFmtId="0" fontId="0" fillId="6" borderId="6" xfId="0" applyFill="1" applyBorder="1" applyAlignment="1">
      <alignment horizontal="center" vertical="center"/>
    </xf>
    <xf numFmtId="0" fontId="5" fillId="2" borderId="1" xfId="0" applyFont="1" applyFill="1" applyBorder="1" applyAlignment="1">
      <alignment vertical="center"/>
    </xf>
    <xf numFmtId="0" fontId="0" fillId="2" borderId="1" xfId="0" applyFill="1" applyBorder="1" applyAlignment="1">
      <alignment vertical="center"/>
    </xf>
    <xf numFmtId="0" fontId="6" fillId="3" borderId="1" xfId="0" applyFont="1" applyFill="1"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wrapText="1"/>
    </xf>
    <xf numFmtId="1" fontId="9" fillId="0" borderId="1" xfId="0" applyNumberFormat="1" applyFont="1" applyBorder="1" applyAlignment="1">
      <alignment horizontal="center" vertical="center"/>
    </xf>
    <xf numFmtId="2" fontId="9" fillId="0" borderId="1" xfId="0" applyNumberFormat="1" applyFont="1" applyBorder="1" applyAlignment="1">
      <alignment horizontal="center" vertical="center"/>
    </xf>
    <xf numFmtId="9" fontId="16" fillId="0" borderId="1" xfId="0" applyNumberFormat="1" applyFont="1" applyBorder="1" applyAlignment="1">
      <alignment horizontal="center" vertical="center"/>
    </xf>
    <xf numFmtId="2" fontId="15" fillId="0" borderId="1" xfId="0" applyNumberFormat="1" applyFont="1" applyBorder="1" applyAlignment="1">
      <alignment horizontal="center" vertical="center"/>
    </xf>
    <xf numFmtId="9" fontId="7" fillId="7" borderId="1" xfId="0" applyNumberFormat="1" applyFont="1" applyFill="1" applyBorder="1" applyAlignment="1">
      <alignment horizontal="center" vertical="center"/>
    </xf>
    <xf numFmtId="0" fontId="6" fillId="3" borderId="1" xfId="0" applyFont="1" applyFill="1" applyBorder="1" applyAlignment="1">
      <alignment vertical="center" wrapText="1"/>
    </xf>
    <xf numFmtId="166" fontId="1" fillId="0" borderId="6" xfId="3" applyNumberFormat="1" applyFont="1" applyBorder="1" applyAlignment="1">
      <alignment vertical="center"/>
    </xf>
    <xf numFmtId="10" fontId="1" fillId="0" borderId="6" xfId="3" applyNumberFormat="1" applyFont="1" applyBorder="1" applyAlignment="1">
      <alignment vertical="center"/>
    </xf>
    <xf numFmtId="0" fontId="5" fillId="3" borderId="6" xfId="0" applyFont="1" applyFill="1" applyBorder="1" applyAlignment="1">
      <alignment vertical="center" wrapText="1"/>
    </xf>
    <xf numFmtId="0" fontId="8" fillId="0" borderId="6" xfId="1" applyFont="1" applyBorder="1" applyAlignment="1">
      <alignment vertical="center"/>
    </xf>
    <xf numFmtId="0" fontId="7" fillId="0" borderId="6" xfId="1" applyFont="1" applyBorder="1" applyAlignment="1">
      <alignment vertical="center"/>
    </xf>
    <xf numFmtId="0" fontId="9" fillId="0" borderId="6" xfId="1" applyFont="1" applyBorder="1" applyAlignment="1">
      <alignment vertical="center"/>
    </xf>
    <xf numFmtId="0" fontId="7" fillId="7" borderId="6" xfId="1" applyFont="1" applyFill="1" applyBorder="1" applyAlignment="1">
      <alignment vertical="center"/>
    </xf>
    <xf numFmtId="0" fontId="0" fillId="0" borderId="0" xfId="0" applyAlignment="1">
      <alignment horizontal="center" vertical="center"/>
    </xf>
    <xf numFmtId="0" fontId="0" fillId="0" borderId="0" xfId="0" applyAlignment="1">
      <alignment horizontal="center" wrapText="1"/>
    </xf>
    <xf numFmtId="0" fontId="0" fillId="0" borderId="6" xfId="0" applyBorder="1" applyAlignment="1">
      <alignment horizontal="center" wrapText="1"/>
    </xf>
    <xf numFmtId="168"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0" fontId="1" fillId="0" borderId="6" xfId="0" applyFont="1" applyBorder="1" applyAlignment="1">
      <alignment horizontal="left" vertical="center"/>
    </xf>
    <xf numFmtId="0" fontId="5" fillId="2" borderId="6" xfId="0" applyFont="1" applyFill="1" applyBorder="1" applyAlignment="1">
      <alignment horizontal="left" vertical="center"/>
    </xf>
    <xf numFmtId="0" fontId="1" fillId="2" borderId="6" xfId="0" applyFont="1" applyFill="1" applyBorder="1" applyAlignment="1">
      <alignment horizontal="left" vertical="center"/>
    </xf>
    <xf numFmtId="0" fontId="11" fillId="5" borderId="6" xfId="4" applyBorder="1" applyAlignment="1">
      <alignment horizontal="center" vertical="center"/>
    </xf>
    <xf numFmtId="0" fontId="5" fillId="2" borderId="6" xfId="0" applyFont="1" applyFill="1" applyBorder="1" applyAlignment="1">
      <alignment vertical="center"/>
    </xf>
    <xf numFmtId="168" fontId="1" fillId="9" borderId="6" xfId="2" applyNumberFormat="1" applyFont="1" applyFill="1" applyBorder="1" applyAlignment="1">
      <alignment vertical="center"/>
    </xf>
    <xf numFmtId="0" fontId="1" fillId="9" borderId="6" xfId="0" applyFont="1" applyFill="1" applyBorder="1" applyAlignment="1">
      <alignment vertical="center"/>
    </xf>
    <xf numFmtId="164" fontId="1" fillId="0" borderId="6" xfId="2" applyFont="1" applyBorder="1" applyAlignment="1">
      <alignment vertical="center"/>
    </xf>
    <xf numFmtId="0" fontId="1" fillId="2" borderId="6" xfId="0" applyFont="1" applyFill="1" applyBorder="1" applyAlignment="1">
      <alignment vertical="center"/>
    </xf>
    <xf numFmtId="168" fontId="1" fillId="0" borderId="6" xfId="0" applyNumberFormat="1" applyFont="1" applyBorder="1" applyAlignment="1">
      <alignment vertical="center"/>
    </xf>
    <xf numFmtId="164" fontId="1" fillId="0" borderId="6" xfId="0" applyNumberFormat="1" applyFont="1" applyBorder="1" applyAlignment="1">
      <alignment vertical="center"/>
    </xf>
    <xf numFmtId="0" fontId="19" fillId="0" borderId="6" xfId="0" applyFont="1" applyBorder="1" applyAlignment="1">
      <alignment vertical="center" wrapText="1"/>
    </xf>
    <xf numFmtId="0" fontId="20" fillId="0" borderId="0" xfId="1" applyFont="1" applyAlignment="1">
      <alignment horizontal="left" vertical="center"/>
    </xf>
    <xf numFmtId="0" fontId="18" fillId="0" borderId="6" xfId="1" applyFont="1" applyBorder="1" applyAlignment="1">
      <alignment vertical="center" wrapText="1"/>
    </xf>
    <xf numFmtId="0" fontId="19" fillId="0" borderId="6" xfId="1" applyFont="1" applyBorder="1" applyAlignment="1">
      <alignment vertical="center" wrapText="1"/>
    </xf>
    <xf numFmtId="0" fontId="21" fillId="0" borderId="6" xfId="1" applyFont="1" applyBorder="1" applyAlignment="1">
      <alignment vertical="center" wrapText="1"/>
    </xf>
    <xf numFmtId="0" fontId="19" fillId="7" borderId="6" xfId="1" applyFont="1" applyFill="1" applyBorder="1" applyAlignment="1">
      <alignment vertical="center" wrapText="1"/>
    </xf>
    <xf numFmtId="0" fontId="19" fillId="0" borderId="6" xfId="0" applyFont="1" applyBorder="1" applyAlignment="1">
      <alignment horizontal="left" vertical="center"/>
    </xf>
    <xf numFmtId="164" fontId="18" fillId="0" borderId="6" xfId="2" applyFont="1" applyBorder="1" applyAlignment="1">
      <alignment vertical="center"/>
    </xf>
    <xf numFmtId="9" fontId="0" fillId="0" borderId="6" xfId="3" applyFont="1" applyBorder="1" applyAlignment="1">
      <alignment vertical="center"/>
    </xf>
    <xf numFmtId="0" fontId="7" fillId="0" borderId="7" xfId="1" applyFont="1" applyBorder="1" applyAlignment="1">
      <alignment horizontal="left" vertical="center"/>
    </xf>
    <xf numFmtId="0" fontId="7" fillId="0" borderId="11" xfId="1" applyFont="1" applyBorder="1" applyAlignment="1">
      <alignment horizontal="left" vertical="center"/>
    </xf>
    <xf numFmtId="0" fontId="0" fillId="9" borderId="6" xfId="0" applyFill="1" applyBorder="1" applyAlignment="1">
      <alignment horizontal="right"/>
    </xf>
    <xf numFmtId="0" fontId="0" fillId="9" borderId="6" xfId="0" applyFill="1" applyBorder="1"/>
    <xf numFmtId="9" fontId="0" fillId="0" borderId="6" xfId="3" applyFont="1" applyBorder="1"/>
    <xf numFmtId="0" fontId="0" fillId="0" borderId="7" xfId="0" applyBorder="1" applyAlignment="1">
      <alignment vertical="center" wrapText="1"/>
    </xf>
    <xf numFmtId="0" fontId="12" fillId="6" borderId="10" xfId="0" applyFont="1" applyFill="1" applyBorder="1" applyAlignment="1">
      <alignment horizontal="center" vertical="center"/>
    </xf>
    <xf numFmtId="0" fontId="12" fillId="0" borderId="6" xfId="0" applyFont="1" applyBorder="1" applyAlignment="1">
      <alignment vertical="center"/>
    </xf>
    <xf numFmtId="10" fontId="0" fillId="0" borderId="6" xfId="0" applyNumberFormat="1" applyBorder="1" applyAlignment="1">
      <alignment vertical="center"/>
    </xf>
    <xf numFmtId="9" fontId="0" fillId="0" borderId="6" xfId="0" applyNumberFormat="1" applyBorder="1" applyAlignment="1">
      <alignment vertical="center"/>
    </xf>
    <xf numFmtId="0" fontId="11" fillId="5" borderId="6" xfId="4" applyBorder="1" applyAlignment="1">
      <alignment vertical="center"/>
    </xf>
    <xf numFmtId="0" fontId="20" fillId="0" borderId="0" xfId="0" applyFont="1" applyAlignment="1">
      <alignment vertical="center"/>
    </xf>
    <xf numFmtId="0" fontId="5" fillId="3" borderId="6" xfId="0" applyFont="1" applyFill="1" applyBorder="1" applyAlignment="1">
      <alignment vertical="center"/>
    </xf>
    <xf numFmtId="9" fontId="19" fillId="0" borderId="6" xfId="0" applyNumberFormat="1" applyFont="1" applyBorder="1" applyAlignment="1">
      <alignment vertical="center" wrapText="1"/>
    </xf>
    <xf numFmtId="0" fontId="19" fillId="0" borderId="6" xfId="0" applyFont="1" applyBorder="1" applyAlignment="1">
      <alignment vertical="center"/>
    </xf>
    <xf numFmtId="0" fontId="18" fillId="0" borderId="1" xfId="1" applyFont="1" applyBorder="1" applyAlignment="1">
      <alignment vertical="center"/>
    </xf>
    <xf numFmtId="0" fontId="19" fillId="0" borderId="1" xfId="1" applyFont="1" applyBorder="1" applyAlignment="1">
      <alignment vertical="center"/>
    </xf>
    <xf numFmtId="0" fontId="21" fillId="0" borderId="1" xfId="1" applyFont="1" applyBorder="1" applyAlignment="1">
      <alignment vertical="center"/>
    </xf>
    <xf numFmtId="0" fontId="19" fillId="7" borderId="1" xfId="1" applyFont="1" applyFill="1" applyBorder="1" applyAlignment="1">
      <alignment vertical="center"/>
    </xf>
    <xf numFmtId="0" fontId="19" fillId="0" borderId="1" xfId="0" applyFont="1" applyBorder="1" applyAlignment="1">
      <alignment vertical="center" wrapText="1"/>
    </xf>
    <xf numFmtId="167" fontId="19" fillId="7" borderId="1" xfId="0" applyNumberFormat="1" applyFont="1" applyFill="1" applyBorder="1" applyAlignment="1">
      <alignment horizontal="center" vertical="center"/>
    </xf>
    <xf numFmtId="167" fontId="18" fillId="0" borderId="1" xfId="0" applyNumberFormat="1" applyFont="1" applyBorder="1" applyAlignment="1">
      <alignment horizontal="center" vertical="center"/>
    </xf>
    <xf numFmtId="166" fontId="21" fillId="0" borderId="1" xfId="0" applyNumberFormat="1" applyFont="1" applyBorder="1" applyAlignment="1">
      <alignment horizontal="center" vertical="center"/>
    </xf>
    <xf numFmtId="0" fontId="5" fillId="0" borderId="1" xfId="0" applyFont="1" applyBorder="1" applyAlignment="1">
      <alignment horizontal="center" vertical="center"/>
    </xf>
    <xf numFmtId="0" fontId="0" fillId="9" borderId="6" xfId="0" applyFill="1" applyBorder="1" applyAlignment="1">
      <alignment horizontal="center" vertical="center"/>
    </xf>
    <xf numFmtId="0" fontId="0" fillId="9" borderId="10" xfId="0" applyFill="1" applyBorder="1" applyAlignment="1">
      <alignment horizontal="center" vertical="center"/>
    </xf>
    <xf numFmtId="0" fontId="12" fillId="0" borderId="9" xfId="0" applyFont="1" applyBorder="1" applyAlignment="1">
      <alignment horizontal="center" vertical="center"/>
    </xf>
    <xf numFmtId="2" fontId="0" fillId="0" borderId="6" xfId="0" applyNumberFormat="1" applyBorder="1" applyAlignment="1">
      <alignment horizontal="center" vertical="center"/>
    </xf>
    <xf numFmtId="39" fontId="0" fillId="0" borderId="6" xfId="2" applyNumberFormat="1" applyFont="1" applyBorder="1" applyAlignment="1">
      <alignment horizontal="center" vertical="center"/>
    </xf>
    <xf numFmtId="167" fontId="8" fillId="0" borderId="1" xfId="0" applyNumberFormat="1" applyFont="1" applyBorder="1" applyAlignment="1">
      <alignment horizontal="center" vertical="center"/>
    </xf>
    <xf numFmtId="0" fontId="17" fillId="0" borderId="1" xfId="0" applyFont="1" applyBorder="1" applyAlignment="1">
      <alignment horizontal="center" vertical="center"/>
    </xf>
    <xf numFmtId="168" fontId="18" fillId="0" borderId="6" xfId="2" applyNumberFormat="1" applyFont="1" applyBorder="1" applyAlignment="1">
      <alignment horizontal="center" vertical="center"/>
    </xf>
    <xf numFmtId="168" fontId="0" fillId="0" borderId="6" xfId="0" applyNumberFormat="1" applyBorder="1" applyAlignment="1">
      <alignment horizontal="center" vertical="center"/>
    </xf>
    <xf numFmtId="164" fontId="0" fillId="0" borderId="6" xfId="2" applyFont="1" applyBorder="1" applyAlignment="1">
      <alignment horizontal="center" vertical="center"/>
    </xf>
    <xf numFmtId="0" fontId="0" fillId="0" borderId="9" xfId="0" applyBorder="1" applyAlignment="1">
      <alignment horizontal="center" vertical="center"/>
    </xf>
    <xf numFmtId="164" fontId="0" fillId="0" borderId="6" xfId="2" applyFont="1" applyBorder="1" applyAlignment="1">
      <alignment vertical="center" wrapText="1"/>
    </xf>
    <xf numFmtId="10" fontId="8" fillId="0" borderId="1" xfId="3" applyNumberFormat="1" applyFont="1" applyBorder="1" applyAlignment="1">
      <alignment vertical="center"/>
    </xf>
    <xf numFmtId="164" fontId="8" fillId="0" borderId="1" xfId="2" applyFont="1" applyBorder="1" applyAlignment="1">
      <alignment vertical="center"/>
    </xf>
    <xf numFmtId="2" fontId="7" fillId="0" borderId="1" xfId="1" applyNumberFormat="1" applyFont="1" applyBorder="1" applyAlignment="1">
      <alignment vertical="center"/>
    </xf>
    <xf numFmtId="10" fontId="7" fillId="0" borderId="1" xfId="3" applyNumberFormat="1" applyFont="1" applyBorder="1" applyAlignment="1">
      <alignment vertical="center"/>
    </xf>
    <xf numFmtId="164" fontId="7" fillId="0" borderId="1" xfId="2" applyFont="1" applyBorder="1" applyAlignment="1">
      <alignment vertical="center"/>
    </xf>
    <xf numFmtId="0" fontId="10" fillId="0" borderId="0" xfId="1" applyFont="1" applyAlignment="1">
      <alignment vertical="center" wrapText="1"/>
    </xf>
    <xf numFmtId="0" fontId="7" fillId="0" borderId="6" xfId="1" applyFont="1" applyBorder="1" applyAlignment="1">
      <alignment vertical="center"/>
    </xf>
    <xf numFmtId="0" fontId="1" fillId="0" borderId="6" xfId="0" applyFont="1" applyBorder="1" applyAlignment="1">
      <alignment horizontal="center" vertical="center" wrapText="1"/>
    </xf>
    <xf numFmtId="0" fontId="7" fillId="0" borderId="7" xfId="1" applyFont="1" applyBorder="1" applyAlignment="1">
      <alignment horizontal="left" vertical="center"/>
    </xf>
    <xf numFmtId="0" fontId="7" fillId="0" borderId="11" xfId="1" applyFont="1" applyBorder="1" applyAlignment="1">
      <alignment horizontal="left" vertical="center"/>
    </xf>
    <xf numFmtId="0" fontId="1" fillId="0" borderId="6" xfId="0" applyFont="1" applyBorder="1" applyAlignment="1">
      <alignment horizontal="left" vertical="center" wrapText="1"/>
    </xf>
  </cellXfs>
  <cellStyles count="5">
    <cellStyle name="Comma" xfId="2" builtinId="3"/>
    <cellStyle name="Good" xfId="4" builtinId="26"/>
    <cellStyle name="Normal" xfId="0" builtinId="0"/>
    <cellStyle name="Normal 2" xfId="1" xr:uid="{11368911-94FB-46AF-9F3C-682EDF80A08B}"/>
    <cellStyle name="Percent" xfId="3" builtinId="5"/>
  </cellStyles>
  <dxfs count="5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alder, Vicky" id="{C49E7AEF-DA14-4094-A278-21B7D9E4D06C}" userId="S::vihalder@deloitte.com::22cfb8cd-7da7-4dd1-8f5c-e817641af7d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9" dT="2026-08-07T12:49:35.26" personId="{C49E7AEF-DA14-4094-A278-21B7D9E4D06C}" id="{915E7FED-EAE6-4170-91BC-4D43C0507BB0}">
    <text>Tata Steel has reported a DSCR of 2.85x, but the detailed annual debt-service amount used in that ratio is not separately reported. Therefore, we have back calculated the debt service by dividing EBIT of 25,967cr.by the reported DSCR of 2.85x. This gives an implied annual debt service of approximately 9,111cr.</text>
  </threadedComment>
  <threadedComment ref="A32" dT="2026-08-07T12:49:35.26" personId="{C49E7AEF-DA14-4094-A278-21B7D9E4D06C}" id="{5FECDD26-E22C-4201-AAFA-42C5120E1211}">
    <text>Tata Steel has reported a DSCR of 2.85x, but the detailed annual debt-service amount used in that ratio is not separately reported. Therefore, the back calculation of the debt service was performed by dividing EBIT of 25,967cr.by the reported DSCR of 2.85x. This gives an implied annual debt service of approximately 9,111cr.</text>
  </threadedComment>
  <threadedComment ref="A34" dT="2026-08-07T13:03:36.76" personId="{C49E7AEF-DA14-4094-A278-21B7D9E4D06C}" id="{6CD6AD93-61F7-4F30-8C2F-4319D32809A9}">
    <text>Based on the minimum DSCR of 1.5x, the available additional annual debt-service capacity is estimated at 8200cr.  Applying the 5 year present value annuity factor at an interest rate of 8%, the maximum additional loan capacity is calculated at 32740cr.</text>
  </threadedComment>
</ThreadedComment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851B7-AE24-4B77-B604-B1CD11812C28}">
  <dimension ref="A1:G77"/>
  <sheetViews>
    <sheetView tabSelected="1" zoomScale="80" zoomScaleNormal="100" workbookViewId="0">
      <pane ySplit="4" topLeftCell="A44" activePane="bottomLeft" state="frozen"/>
      <selection pane="bottomLeft" activeCell="C59" sqref="C59"/>
    </sheetView>
  </sheetViews>
  <sheetFormatPr defaultColWidth="8.5703125" defaultRowHeight="14.45"/>
  <cols>
    <col min="1" max="1" width="63.85546875" style="12" customWidth="1"/>
    <col min="2" max="2" width="23.85546875" style="12" customWidth="1"/>
    <col min="3" max="3" width="21.28515625" style="12" bestFit="1" customWidth="1"/>
    <col min="4" max="4" width="22.5703125" style="12" customWidth="1"/>
    <col min="5" max="5" width="21.28515625" style="12" bestFit="1" customWidth="1"/>
    <col min="6" max="6" width="8.5703125" style="12"/>
    <col min="7" max="7" width="63.5703125" style="12" customWidth="1"/>
    <col min="8" max="16384" width="8.5703125" style="12"/>
  </cols>
  <sheetData>
    <row r="1" spans="1:7" ht="18.600000000000001">
      <c r="A1" s="11" t="s">
        <v>0</v>
      </c>
      <c r="F1" s="13" t="s">
        <v>1</v>
      </c>
    </row>
    <row r="2" spans="1:7">
      <c r="A2" s="14"/>
      <c r="F2" s="15" t="s">
        <v>2</v>
      </c>
      <c r="G2" s="16" t="s">
        <v>3</v>
      </c>
    </row>
    <row r="3" spans="1:7">
      <c r="F3" s="17" t="s">
        <v>4</v>
      </c>
      <c r="G3" s="16" t="s">
        <v>5</v>
      </c>
    </row>
    <row r="4" spans="1:7">
      <c r="A4" s="18" t="s">
        <v>6</v>
      </c>
      <c r="B4" s="19" t="s">
        <v>7</v>
      </c>
      <c r="C4" s="19" t="s">
        <v>8</v>
      </c>
      <c r="D4" s="19" t="s">
        <v>9</v>
      </c>
      <c r="F4" s="20" t="s">
        <v>10</v>
      </c>
      <c r="G4" s="16" t="s">
        <v>11</v>
      </c>
    </row>
    <row r="5" spans="1:7">
      <c r="A5" s="21" t="s">
        <v>12</v>
      </c>
      <c r="B5" s="22">
        <v>139720.22</v>
      </c>
      <c r="C5" s="22">
        <v>132516.66</v>
      </c>
      <c r="D5" s="22"/>
    </row>
    <row r="6" spans="1:7">
      <c r="A6" s="21" t="s">
        <v>13</v>
      </c>
      <c r="B6" s="22">
        <v>2165.6999999999998</v>
      </c>
      <c r="C6" s="22">
        <v>2246.9</v>
      </c>
      <c r="D6" s="22"/>
    </row>
    <row r="7" spans="1:7">
      <c r="A7" s="21" t="s">
        <v>14</v>
      </c>
      <c r="B7" s="23">
        <f>B5+B6</f>
        <v>141885.92000000001</v>
      </c>
      <c r="C7" s="23">
        <f>C5+C6</f>
        <v>134763.56</v>
      </c>
      <c r="D7" s="22">
        <v>141885.92000000001</v>
      </c>
    </row>
    <row r="8" spans="1:7">
      <c r="A8" s="21" t="s">
        <v>15</v>
      </c>
      <c r="B8" s="22">
        <v>119433.96</v>
      </c>
      <c r="C8" s="22">
        <v>115142.68</v>
      </c>
      <c r="D8" s="22"/>
    </row>
    <row r="9" spans="1:7">
      <c r="A9" s="21" t="s">
        <v>16</v>
      </c>
      <c r="B9" s="22">
        <v>5116.88</v>
      </c>
      <c r="C9" s="22">
        <v>4238.3500000000004</v>
      </c>
      <c r="D9" s="22"/>
    </row>
    <row r="10" spans="1:7">
      <c r="A10" s="21" t="s">
        <v>17</v>
      </c>
      <c r="B10" s="22">
        <v>7068.68</v>
      </c>
      <c r="C10" s="22">
        <v>6253.16</v>
      </c>
      <c r="D10" s="22"/>
    </row>
    <row r="11" spans="1:7">
      <c r="A11" s="21" t="s">
        <v>18</v>
      </c>
      <c r="B11" s="22">
        <v>1601.89</v>
      </c>
      <c r="C11" s="22">
        <v>1895.01</v>
      </c>
      <c r="D11" s="22"/>
    </row>
    <row r="12" spans="1:7">
      <c r="A12" s="21" t="s">
        <v>19</v>
      </c>
      <c r="B12" s="23">
        <f>B7-B8</f>
        <v>22451.960000000006</v>
      </c>
      <c r="C12" s="23">
        <f>C7-C8</f>
        <v>19620.880000000005</v>
      </c>
      <c r="D12" s="22">
        <v>22451.96</v>
      </c>
    </row>
    <row r="13" spans="1:7">
      <c r="A13" s="21" t="s">
        <v>20</v>
      </c>
      <c r="B13" s="22">
        <v>-1098.8599999999999</v>
      </c>
      <c r="C13" s="22">
        <v>-902.04</v>
      </c>
      <c r="D13" s="22"/>
    </row>
    <row r="14" spans="1:7">
      <c r="A14" s="21" t="s">
        <v>21</v>
      </c>
      <c r="B14" s="23">
        <f>B12+B13</f>
        <v>21353.100000000006</v>
      </c>
      <c r="C14" s="23">
        <f>C12+C13</f>
        <v>18718.840000000004</v>
      </c>
      <c r="D14" s="22">
        <v>21353.1</v>
      </c>
    </row>
    <row r="15" spans="1:7">
      <c r="A15" s="21" t="s">
        <v>22</v>
      </c>
      <c r="B15" s="22">
        <v>5287.97</v>
      </c>
      <c r="C15" s="22">
        <v>4749.1400000000003</v>
      </c>
      <c r="D15" s="22"/>
    </row>
    <row r="16" spans="1:7">
      <c r="A16" s="21" t="s">
        <v>23</v>
      </c>
      <c r="B16" s="23">
        <f>B14-B15</f>
        <v>16065.130000000005</v>
      </c>
      <c r="C16" s="23">
        <f>C14-C15</f>
        <v>13969.700000000004</v>
      </c>
      <c r="D16" s="22">
        <v>16065.13</v>
      </c>
    </row>
    <row r="17" spans="1:4">
      <c r="A17" s="21" t="s">
        <v>24</v>
      </c>
      <c r="B17" s="23">
        <f>B9-B11</f>
        <v>3514.99</v>
      </c>
      <c r="C17" s="23">
        <f>C9-C11</f>
        <v>2343.34</v>
      </c>
      <c r="D17" s="22"/>
    </row>
    <row r="18" spans="1:4">
      <c r="A18" s="21" t="s">
        <v>25</v>
      </c>
      <c r="B18" s="24">
        <f>B12+B17+B10</f>
        <v>33035.630000000005</v>
      </c>
      <c r="C18" s="24">
        <f>C12+C17+C10</f>
        <v>28217.380000000005</v>
      </c>
      <c r="D18" s="22"/>
    </row>
    <row r="19" spans="1:4">
      <c r="A19" s="21" t="s">
        <v>26</v>
      </c>
      <c r="B19" s="43">
        <f>B18/B5</f>
        <v>0.23644129675719094</v>
      </c>
      <c r="C19" s="43">
        <f>C18/C5</f>
        <v>0.21293458497973011</v>
      </c>
      <c r="D19" s="22"/>
    </row>
    <row r="20" spans="1:4">
      <c r="A20" s="21" t="s">
        <v>27</v>
      </c>
      <c r="B20" s="24">
        <f>B12+B17</f>
        <v>25966.950000000004</v>
      </c>
      <c r="C20" s="24">
        <f>C12+C17</f>
        <v>21964.220000000005</v>
      </c>
      <c r="D20" s="22"/>
    </row>
    <row r="22" spans="1:4">
      <c r="A22" s="18" t="s">
        <v>28</v>
      </c>
      <c r="B22" s="19" t="s">
        <v>7</v>
      </c>
      <c r="C22" s="19" t="s">
        <v>8</v>
      </c>
    </row>
    <row r="23" spans="1:4">
      <c r="A23" s="21" t="s">
        <v>29</v>
      </c>
      <c r="B23" s="22">
        <v>109059.93</v>
      </c>
      <c r="C23" s="22">
        <v>93203.83</v>
      </c>
    </row>
    <row r="24" spans="1:4">
      <c r="A24" s="21" t="s">
        <v>30</v>
      </c>
      <c r="B24" s="22">
        <v>272747.42</v>
      </c>
      <c r="C24" s="22">
        <v>254132.74</v>
      </c>
    </row>
    <row r="25" spans="1:4">
      <c r="A25" s="21" t="s">
        <v>31</v>
      </c>
      <c r="B25" s="22">
        <v>135533.31</v>
      </c>
      <c r="C25" s="22">
        <v>126731.94</v>
      </c>
    </row>
    <row r="26" spans="1:4">
      <c r="A26" s="21" t="s">
        <v>32</v>
      </c>
      <c r="B26" s="22">
        <v>50666.45</v>
      </c>
      <c r="C26" s="22">
        <v>51040.98</v>
      </c>
    </row>
    <row r="27" spans="1:4">
      <c r="A27" s="21" t="s">
        <v>33</v>
      </c>
      <c r="B27" s="22">
        <v>14037.73</v>
      </c>
      <c r="C27" s="22">
        <v>8640.44</v>
      </c>
    </row>
    <row r="28" spans="1:4">
      <c r="A28" s="21" t="s">
        <v>34</v>
      </c>
      <c r="B28" s="22">
        <v>3766.16</v>
      </c>
      <c r="C28" s="22">
        <v>3177.06</v>
      </c>
    </row>
    <row r="29" spans="1:4">
      <c r="A29" s="21" t="s">
        <v>35</v>
      </c>
      <c r="B29" s="22">
        <v>578.92999999999995</v>
      </c>
      <c r="C29" s="22">
        <v>364.91</v>
      </c>
    </row>
    <row r="30" spans="1:4">
      <c r="A30" s="21" t="s">
        <v>36</v>
      </c>
      <c r="B30" s="24">
        <f>SUM(B26:B29)</f>
        <v>69049.26999999999</v>
      </c>
      <c r="C30" s="24">
        <f>SUM(C26:C29)</f>
        <v>63223.390000000007</v>
      </c>
    </row>
    <row r="31" spans="1:4">
      <c r="A31" s="21" t="s">
        <v>37</v>
      </c>
      <c r="B31" s="22">
        <v>0.11</v>
      </c>
      <c r="C31" s="22">
        <v>0.12</v>
      </c>
    </row>
    <row r="32" spans="1:4">
      <c r="A32" s="21" t="s">
        <v>38</v>
      </c>
      <c r="B32" s="22">
        <v>2912.79</v>
      </c>
      <c r="C32" s="22">
        <v>3111.93</v>
      </c>
    </row>
    <row r="33" spans="1:5">
      <c r="A33" s="21" t="s">
        <v>39</v>
      </c>
      <c r="B33" s="22">
        <v>191.6</v>
      </c>
      <c r="C33" s="22">
        <v>1032.69</v>
      </c>
    </row>
    <row r="34" spans="1:5">
      <c r="A34" s="21" t="s">
        <v>40</v>
      </c>
      <c r="B34" s="24">
        <f>B30-B31-B32-B33</f>
        <v>65944.76999999999</v>
      </c>
      <c r="C34" s="24">
        <f>C30-C31-C32-C33</f>
        <v>59078.65</v>
      </c>
    </row>
    <row r="35" spans="1:5">
      <c r="A35" s="21" t="s">
        <v>41</v>
      </c>
      <c r="B35" s="22">
        <v>33393.07</v>
      </c>
      <c r="C35" s="22">
        <v>33702.9</v>
      </c>
    </row>
    <row r="36" spans="1:5">
      <c r="A36" s="21" t="s">
        <v>42</v>
      </c>
      <c r="B36" s="22">
        <v>63732.79</v>
      </c>
      <c r="C36" s="22">
        <v>54482.92</v>
      </c>
    </row>
    <row r="37" spans="1:5">
      <c r="A37" s="21" t="s">
        <v>43</v>
      </c>
      <c r="B37" s="22">
        <v>137214.10999999999</v>
      </c>
      <c r="C37" s="22">
        <v>127400.8</v>
      </c>
    </row>
    <row r="39" spans="1:5">
      <c r="A39" s="18" t="s">
        <v>44</v>
      </c>
      <c r="B39" s="19" t="s">
        <v>7</v>
      </c>
      <c r="C39" s="19" t="s">
        <v>8</v>
      </c>
    </row>
    <row r="40" spans="1:5">
      <c r="A40" s="21" t="s">
        <v>45</v>
      </c>
      <c r="B40" s="22">
        <v>31960.95</v>
      </c>
      <c r="C40" s="22">
        <v>23505.68</v>
      </c>
    </row>
    <row r="41" spans="1:5">
      <c r="A41" s="21" t="s">
        <v>46</v>
      </c>
      <c r="B41" s="22">
        <v>4229.8</v>
      </c>
      <c r="C41" s="22">
        <v>2688.26</v>
      </c>
    </row>
    <row r="42" spans="1:5">
      <c r="A42" s="21" t="s">
        <v>47</v>
      </c>
      <c r="B42" s="22">
        <v>6067.14</v>
      </c>
      <c r="C42" s="22">
        <v>5113.51</v>
      </c>
    </row>
    <row r="43" spans="1:5">
      <c r="A43" s="21" t="s">
        <v>48</v>
      </c>
      <c r="B43" s="22">
        <v>9385.44</v>
      </c>
      <c r="C43" s="22">
        <v>3931.48</v>
      </c>
    </row>
    <row r="44" spans="1:5">
      <c r="A44" s="21" t="s">
        <v>49</v>
      </c>
      <c r="B44" s="22">
        <v>427.36</v>
      </c>
      <c r="C44" s="22">
        <v>503.45</v>
      </c>
    </row>
    <row r="45" spans="1:5">
      <c r="A45" s="21" t="s">
        <v>50</v>
      </c>
      <c r="B45" s="22">
        <v>8813.6</v>
      </c>
      <c r="C45" s="22">
        <v>11105.71</v>
      </c>
    </row>
    <row r="46" spans="1:5">
      <c r="A46" s="21" t="s">
        <v>51</v>
      </c>
      <c r="B46" s="22">
        <v>4494.07</v>
      </c>
      <c r="C46" s="22">
        <v>4494.07</v>
      </c>
    </row>
    <row r="47" spans="1:5">
      <c r="A47" s="12" t="s">
        <v>52</v>
      </c>
      <c r="B47" s="22">
        <v>13295.44</v>
      </c>
      <c r="C47" s="22">
        <v>-10003.459999999999</v>
      </c>
    </row>
    <row r="48" spans="1:5">
      <c r="A48" s="18" t="s">
        <v>53</v>
      </c>
      <c r="B48" s="19" t="s">
        <v>54</v>
      </c>
      <c r="C48" s="19" t="s">
        <v>55</v>
      </c>
      <c r="D48" s="19" t="s">
        <v>56</v>
      </c>
      <c r="E48" s="19" t="s">
        <v>57</v>
      </c>
    </row>
    <row r="49" spans="1:5">
      <c r="A49" s="21" t="s">
        <v>58</v>
      </c>
      <c r="B49" s="15">
        <v>2.85</v>
      </c>
      <c r="C49" s="136">
        <f>B20/((B9-B11)+(B43+B44))</f>
        <v>1.9483312687249725</v>
      </c>
      <c r="D49" s="15">
        <v>3.82</v>
      </c>
      <c r="E49" s="136">
        <f>C20/((C9-C11)+(C43+C44))</f>
        <v>3.2403872964635525</v>
      </c>
    </row>
    <row r="50" spans="1:5">
      <c r="A50" s="21" t="s">
        <v>59</v>
      </c>
      <c r="B50" s="15">
        <v>8.08</v>
      </c>
      <c r="C50" s="136">
        <f>B20/((B9-B11))</f>
        <v>7.3874890113485403</v>
      </c>
      <c r="D50" s="15">
        <v>9.94</v>
      </c>
      <c r="E50" s="136">
        <f>C20/((C9-C11))</f>
        <v>9.373040190497326</v>
      </c>
    </row>
    <row r="51" spans="1:5">
      <c r="A51" s="21" t="s">
        <v>60</v>
      </c>
      <c r="B51" s="15">
        <v>0.57999999999999996</v>
      </c>
      <c r="C51" s="136">
        <f>B35/(B36-B29)</f>
        <v>0.528757387117747</v>
      </c>
      <c r="D51" s="15">
        <v>0.69</v>
      </c>
      <c r="E51" s="136">
        <f>C35/(C36-C29)</f>
        <v>0.62276680166177589</v>
      </c>
    </row>
    <row r="52" spans="1:5">
      <c r="A52" s="21" t="s">
        <v>61</v>
      </c>
      <c r="B52" s="15">
        <v>0.5</v>
      </c>
      <c r="C52" s="136">
        <f>(B30-B31-B32-B33)/B59</f>
        <v>0.50288606668249025</v>
      </c>
      <c r="D52" s="15">
        <v>0.44</v>
      </c>
      <c r="E52" s="136">
        <f>(C30-C31-C32-C33)/C59</f>
        <v>0.44094894111805127</v>
      </c>
    </row>
    <row r="53" spans="1:5">
      <c r="A53" s="21" t="s">
        <v>62</v>
      </c>
      <c r="B53" s="15">
        <v>0.25</v>
      </c>
      <c r="C53" s="136">
        <f>B30/B24</f>
        <v>0.25316195474919612</v>
      </c>
      <c r="D53" s="15">
        <v>0.25</v>
      </c>
      <c r="E53" s="136">
        <f>C30/C24</f>
        <v>0.24878097170793503</v>
      </c>
    </row>
    <row r="54" spans="1:5">
      <c r="A54" s="21" t="s">
        <v>63</v>
      </c>
      <c r="B54" s="134">
        <v>0.2364</v>
      </c>
      <c r="C54" s="137">
        <f>B19</f>
        <v>0.23644129675719094</v>
      </c>
      <c r="D54" s="134">
        <v>0.21290000000000001</v>
      </c>
      <c r="E54" s="137">
        <f>C19</f>
        <v>0.21293458497973011</v>
      </c>
    </row>
    <row r="55" spans="1:5">
      <c r="A55" s="21" t="s">
        <v>64</v>
      </c>
      <c r="B55" s="134">
        <v>0.115</v>
      </c>
      <c r="C55" s="137">
        <f>B16/B5</f>
        <v>0.11498070930606898</v>
      </c>
      <c r="D55" s="134">
        <v>0.10539999999999999</v>
      </c>
      <c r="E55" s="137">
        <f>C16/C5</f>
        <v>0.10541844323574111</v>
      </c>
    </row>
    <row r="56" spans="1:5">
      <c r="A56" s="21" t="s">
        <v>65</v>
      </c>
      <c r="B56" s="135">
        <v>132345.31</v>
      </c>
      <c r="C56" s="138">
        <f>B25</f>
        <v>135533.31</v>
      </c>
      <c r="D56" s="135">
        <v>123543.94</v>
      </c>
      <c r="E56" s="138">
        <f>C25</f>
        <v>126731.94</v>
      </c>
    </row>
    <row r="58" spans="1:5">
      <c r="A58" s="18" t="s">
        <v>66</v>
      </c>
      <c r="B58" s="25"/>
      <c r="C58" s="25"/>
    </row>
    <row r="59" spans="1:5">
      <c r="A59" s="21" t="s">
        <v>67</v>
      </c>
      <c r="B59" s="23">
        <f>(B25+C25)/2</f>
        <v>131132.625</v>
      </c>
      <c r="C59" s="138">
        <f>(C25+(C25+C46-C47))/2</f>
        <v>133980.70500000002</v>
      </c>
    </row>
    <row r="62" spans="1:5">
      <c r="A62" s="18" t="s">
        <v>68</v>
      </c>
      <c r="B62" s="25"/>
      <c r="C62" s="25"/>
    </row>
    <row r="63" spans="1:5">
      <c r="A63" s="21" t="s">
        <v>69</v>
      </c>
      <c r="B63" s="26" t="str">
        <f>IF(ABS(B12-D12)&lt;=1,"PASS","FAIL")</f>
        <v>PASS</v>
      </c>
      <c r="C63" s="16"/>
    </row>
    <row r="64" spans="1:5">
      <c r="A64" s="21" t="s">
        <v>70</v>
      </c>
      <c r="B64" s="26" t="str">
        <f>IF(ABS(B16-D16)&lt;=1,"PASS","FAIL")</f>
        <v>PASS</v>
      </c>
      <c r="C64" s="16"/>
    </row>
    <row r="65" spans="1:4">
      <c r="A65" s="21" t="s">
        <v>71</v>
      </c>
      <c r="B65" s="26" t="str">
        <f>IF(ABS(B24-(B25+B37))&lt;=0.01*B24,"PASS","FAIL")</f>
        <v>PASS</v>
      </c>
      <c r="C65" s="16"/>
    </row>
    <row r="66" spans="1:4">
      <c r="A66" s="21" t="s">
        <v>72</v>
      </c>
      <c r="B66" s="26" t="str">
        <f>IF(AND(B40&gt;0,C40&gt;0),"PASS","FLAG FOR REVIEW")</f>
        <v>PASS</v>
      </c>
      <c r="C66" s="16"/>
    </row>
    <row r="68" spans="1:4">
      <c r="A68" s="18" t="s">
        <v>73</v>
      </c>
      <c r="B68" s="25"/>
      <c r="C68" s="25"/>
    </row>
    <row r="69" spans="1:4">
      <c r="A69" s="21" t="s">
        <v>74</v>
      </c>
      <c r="B69" s="26" t="str">
        <f>IF(ABS(B19-B54)&lt;=0.0005,"PASS - ties","CHECK")</f>
        <v>PASS - ties</v>
      </c>
      <c r="C69" s="16"/>
    </row>
    <row r="70" spans="1:4">
      <c r="A70" s="21" t="s">
        <v>75</v>
      </c>
      <c r="B70" s="26" t="str">
        <f>IF(ABS(C19-D54)&lt;=0.0005,"PASS - ties","CHECK")</f>
        <v>PASS - ties</v>
      </c>
      <c r="C70" s="16"/>
    </row>
    <row r="71" spans="1:4">
      <c r="A71" s="21" t="s">
        <v>76</v>
      </c>
      <c r="B71" s="26" t="str">
        <f>IF(ABS(B16/B5-B55)&lt;=0.0005,"PASS - ties","CHECK")</f>
        <v>PASS - ties</v>
      </c>
      <c r="C71" s="16"/>
    </row>
    <row r="72" spans="1:4">
      <c r="A72" s="21" t="s">
        <v>77</v>
      </c>
      <c r="B72" s="26" t="str">
        <f>IF(ABS(B30/B24-B53)&lt;=0.005,"PASS - ties","CHECK")</f>
        <v>PASS - ties</v>
      </c>
      <c r="C72" s="16"/>
    </row>
    <row r="73" spans="1:4">
      <c r="A73" s="21" t="s">
        <v>78</v>
      </c>
      <c r="B73" s="26" t="str">
        <f>IF(ABS(B34/B59-B52)&lt;=0.005,"PASS - ties","CHECK")</f>
        <v>PASS - ties</v>
      </c>
      <c r="C73" s="16"/>
    </row>
    <row r="75" spans="1:4">
      <c r="A75" s="139"/>
      <c r="B75" s="139"/>
      <c r="C75" s="139"/>
      <c r="D75" s="139"/>
    </row>
    <row r="76" spans="1:4">
      <c r="A76" s="139"/>
      <c r="B76" s="139"/>
      <c r="C76" s="139"/>
      <c r="D76" s="139"/>
    </row>
    <row r="77" spans="1:4">
      <c r="A77" s="139"/>
      <c r="B77" s="139"/>
      <c r="C77" s="139"/>
      <c r="D77" s="139"/>
    </row>
  </sheetData>
  <mergeCells count="1">
    <mergeCell ref="A75:D7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B72D-76DD-4681-A61B-07058F51F51D}">
  <dimension ref="A1:L26"/>
  <sheetViews>
    <sheetView zoomScaleNormal="100" workbookViewId="0">
      <pane ySplit="6" topLeftCell="A7" activePane="bottomLeft" state="frozen"/>
      <selection pane="bottomLeft" activeCell="H7" sqref="H7"/>
    </sheetView>
  </sheetViews>
  <sheetFormatPr defaultColWidth="8.5703125" defaultRowHeight="14.45"/>
  <cols>
    <col min="1" max="1" width="21" style="28" customWidth="1"/>
    <col min="2" max="2" width="30.140625" style="28" customWidth="1"/>
    <col min="3" max="4" width="12.5703125" style="28" customWidth="1"/>
    <col min="5" max="5" width="16.42578125" style="28" customWidth="1"/>
    <col min="6" max="6" width="47.5703125" style="29" customWidth="1"/>
    <col min="7" max="7" width="14.42578125" style="28" customWidth="1"/>
    <col min="8" max="8" width="12.85546875" style="28" customWidth="1"/>
    <col min="9" max="9" width="45.85546875" style="28" customWidth="1"/>
    <col min="10" max="10" width="18.42578125" style="28" customWidth="1"/>
    <col min="11" max="16384" width="8.5703125" style="28"/>
  </cols>
  <sheetData>
    <row r="1" spans="1:12" ht="18.600000000000001">
      <c r="A1" s="1" t="s">
        <v>79</v>
      </c>
      <c r="G1" s="29"/>
      <c r="I1" s="69" t="s">
        <v>2</v>
      </c>
      <c r="J1" s="140" t="s">
        <v>80</v>
      </c>
      <c r="K1" s="140"/>
      <c r="L1" s="140"/>
    </row>
    <row r="2" spans="1:12" ht="18.600000000000001">
      <c r="A2" s="1"/>
      <c r="G2" s="29"/>
      <c r="I2" s="71" t="s">
        <v>4</v>
      </c>
      <c r="J2" s="140" t="s">
        <v>81</v>
      </c>
      <c r="K2" s="140"/>
      <c r="L2" s="140"/>
    </row>
    <row r="3" spans="1:12">
      <c r="A3" s="30" t="s">
        <v>82</v>
      </c>
      <c r="B3" s="31" t="str">
        <f>IF(AND(COUNTIF(H7:H13,"Pass")=ROWS(H7:H13),COUNTIF(H18:H26,"Pass")=ROWS(H18:H26)),"Approve","Reject")</f>
        <v>Approve</v>
      </c>
      <c r="G3" s="29"/>
      <c r="I3" s="72" t="s">
        <v>10</v>
      </c>
      <c r="J3" s="140" t="s">
        <v>83</v>
      </c>
      <c r="K3" s="140"/>
      <c r="L3" s="140"/>
    </row>
    <row r="4" spans="1:12">
      <c r="A4" s="32"/>
    </row>
    <row r="6" spans="1:12">
      <c r="A6" s="30" t="s">
        <v>84</v>
      </c>
      <c r="B6" s="30" t="s">
        <v>85</v>
      </c>
      <c r="C6" s="30" t="s">
        <v>86</v>
      </c>
      <c r="D6" s="30" t="s">
        <v>87</v>
      </c>
      <c r="E6" s="30" t="s">
        <v>88</v>
      </c>
      <c r="F6" s="33" t="s">
        <v>89</v>
      </c>
      <c r="G6" s="30" t="s">
        <v>90</v>
      </c>
      <c r="H6" s="30" t="s">
        <v>91</v>
      </c>
      <c r="I6" s="30" t="s">
        <v>92</v>
      </c>
      <c r="J6" s="30" t="s">
        <v>93</v>
      </c>
    </row>
    <row r="7" spans="1:12" ht="43.5">
      <c r="A7" s="35" t="s">
        <v>94</v>
      </c>
      <c r="B7" s="35" t="s">
        <v>95</v>
      </c>
      <c r="C7" s="96">
        <v>139720.22</v>
      </c>
      <c r="D7" s="96">
        <v>132516.66</v>
      </c>
      <c r="E7" s="67">
        <f t="shared" ref="E7:E14" si="0">(C7-D7)/D7</f>
        <v>5.4359655608585349E-2</v>
      </c>
      <c r="F7" s="37" t="s">
        <v>96</v>
      </c>
      <c r="G7" s="38">
        <v>0.05</v>
      </c>
      <c r="H7" s="31" t="str">
        <f>IF(E7&gt;=5%,"Pass","Fail")</f>
        <v>Pass</v>
      </c>
      <c r="I7" s="35"/>
      <c r="J7" s="35"/>
    </row>
    <row r="8" spans="1:12" ht="29.1">
      <c r="A8" s="35" t="s">
        <v>94</v>
      </c>
      <c r="B8" s="35" t="s">
        <v>97</v>
      </c>
      <c r="C8" s="96">
        <v>23.64</v>
      </c>
      <c r="D8" s="96">
        <v>21.29</v>
      </c>
      <c r="E8" s="36">
        <f t="shared" si="0"/>
        <v>0.11038046031000477</v>
      </c>
      <c r="F8" s="37" t="s">
        <v>98</v>
      </c>
      <c r="G8" s="38">
        <v>0.1</v>
      </c>
      <c r="H8" s="31" t="str">
        <f>IF(E8&gt;=10%,"Pass","Fail")</f>
        <v>Pass</v>
      </c>
      <c r="I8" s="35"/>
      <c r="J8" s="35"/>
    </row>
    <row r="9" spans="1:12" ht="29.1">
      <c r="A9" s="35" t="s">
        <v>99</v>
      </c>
      <c r="B9" s="35" t="s">
        <v>100</v>
      </c>
      <c r="C9" s="96">
        <v>16065.13</v>
      </c>
      <c r="D9" s="96">
        <v>13969.7</v>
      </c>
      <c r="E9" s="36">
        <f t="shared" si="0"/>
        <v>0.14999821041253558</v>
      </c>
      <c r="F9" s="37" t="s">
        <v>101</v>
      </c>
      <c r="G9" s="38">
        <v>0.1</v>
      </c>
      <c r="H9" s="31" t="str">
        <f>IF(E9&gt;=10%,"Pass","Fail")</f>
        <v>Pass</v>
      </c>
      <c r="I9" s="35"/>
      <c r="J9" s="35"/>
    </row>
    <row r="10" spans="1:12" ht="29.1">
      <c r="A10" s="35" t="s">
        <v>28</v>
      </c>
      <c r="B10" s="35" t="s">
        <v>102</v>
      </c>
      <c r="C10" s="96">
        <v>272747.42</v>
      </c>
      <c r="D10" s="96">
        <v>254132.74</v>
      </c>
      <c r="E10" s="36">
        <f t="shared" si="0"/>
        <v>7.3247862514684237E-2</v>
      </c>
      <c r="F10" s="37" t="s">
        <v>103</v>
      </c>
      <c r="G10" s="38">
        <v>0.05</v>
      </c>
      <c r="H10" s="31" t="str">
        <f>IF(E10&gt;=5%,"Pass","Fail")</f>
        <v>Pass</v>
      </c>
      <c r="I10" s="35"/>
      <c r="J10" s="35"/>
    </row>
    <row r="11" spans="1:12" ht="29.1">
      <c r="A11" s="35" t="s">
        <v>28</v>
      </c>
      <c r="B11" s="35" t="s">
        <v>104</v>
      </c>
      <c r="C11" s="96">
        <v>132345.31</v>
      </c>
      <c r="D11" s="96">
        <v>123543.94</v>
      </c>
      <c r="E11" s="36">
        <f t="shared" si="0"/>
        <v>7.1240807116884852E-2</v>
      </c>
      <c r="F11" s="37" t="s">
        <v>105</v>
      </c>
      <c r="G11" s="38">
        <v>0.05</v>
      </c>
      <c r="H11" s="31" t="str">
        <f>IF(E11&gt;=5%,"Pass","Fail")</f>
        <v>Pass</v>
      </c>
      <c r="I11" s="35"/>
      <c r="J11" s="35"/>
    </row>
    <row r="12" spans="1:12" ht="43.5">
      <c r="A12" s="35" t="s">
        <v>106</v>
      </c>
      <c r="B12" s="35" t="s">
        <v>107</v>
      </c>
      <c r="C12" s="96">
        <v>31960.95</v>
      </c>
      <c r="D12" s="96">
        <v>23505.68</v>
      </c>
      <c r="E12" s="36">
        <f t="shared" si="0"/>
        <v>0.35971178030161222</v>
      </c>
      <c r="F12" s="37" t="s">
        <v>108</v>
      </c>
      <c r="G12" s="38">
        <v>0.1</v>
      </c>
      <c r="H12" s="31" t="str">
        <f>IF(E12&gt;=10%,"Pass","Fail")</f>
        <v>Pass</v>
      </c>
      <c r="I12" s="35"/>
      <c r="J12" s="35"/>
    </row>
    <row r="13" spans="1:12" ht="43.5">
      <c r="A13" s="35" t="s">
        <v>106</v>
      </c>
      <c r="B13" s="35" t="s">
        <v>109</v>
      </c>
      <c r="C13" s="36">
        <f>C12/'1-Input Data'!B30</f>
        <v>0.46287165671700808</v>
      </c>
      <c r="D13" s="36">
        <f>D12/'1-Input Data'!C30</f>
        <v>0.37178771970310354</v>
      </c>
      <c r="E13" s="36">
        <f t="shared" si="0"/>
        <v>0.24498909508533778</v>
      </c>
      <c r="F13" s="37" t="s">
        <v>110</v>
      </c>
      <c r="G13" s="38">
        <v>0.2</v>
      </c>
      <c r="H13" s="31" t="str">
        <f>IF(C13&gt;=5%,"Pass","Fail")</f>
        <v>Pass</v>
      </c>
      <c r="I13" s="35"/>
      <c r="J13" s="35"/>
    </row>
    <row r="14" spans="1:12">
      <c r="A14" s="35" t="s">
        <v>28</v>
      </c>
      <c r="B14" s="35" t="s">
        <v>111</v>
      </c>
      <c r="C14" s="96">
        <v>69049.26999999999</v>
      </c>
      <c r="D14" s="96">
        <v>63223.390000000007</v>
      </c>
      <c r="E14" s="66">
        <f t="shared" si="0"/>
        <v>9.2147542230810189E-2</v>
      </c>
      <c r="F14" s="37"/>
      <c r="G14" s="38">
        <v>0.15</v>
      </c>
      <c r="H14" s="31" t="str">
        <f>IF(C14&gt;=5%,"Pass","Fail")</f>
        <v>Pass</v>
      </c>
      <c r="I14" s="35"/>
      <c r="J14" s="35"/>
    </row>
    <row r="17" spans="1:10">
      <c r="A17" s="30" t="s">
        <v>112</v>
      </c>
      <c r="B17" s="30" t="s">
        <v>113</v>
      </c>
      <c r="C17" s="30" t="s">
        <v>86</v>
      </c>
      <c r="D17" s="30" t="s">
        <v>87</v>
      </c>
      <c r="E17" s="30" t="s">
        <v>88</v>
      </c>
      <c r="F17" s="33" t="s">
        <v>114</v>
      </c>
      <c r="G17" s="34" t="s">
        <v>90</v>
      </c>
      <c r="H17" s="30" t="s">
        <v>91</v>
      </c>
      <c r="I17" s="34" t="s">
        <v>92</v>
      </c>
      <c r="J17" s="30" t="s">
        <v>93</v>
      </c>
    </row>
    <row r="18" spans="1:10" ht="43.5">
      <c r="A18" s="35" t="s">
        <v>115</v>
      </c>
      <c r="B18" s="35" t="s">
        <v>116</v>
      </c>
      <c r="C18" s="27">
        <v>0.5</v>
      </c>
      <c r="D18" s="27">
        <v>0.44</v>
      </c>
      <c r="E18" s="36">
        <f t="shared" ref="E18:E26" si="1">(C18-D18)/D18</f>
        <v>0.13636363636363635</v>
      </c>
      <c r="F18" s="37" t="s">
        <v>117</v>
      </c>
      <c r="G18" s="42">
        <v>0.5</v>
      </c>
      <c r="H18" s="31" t="str">
        <f>IF(C18&gt;=0.5,"Pass","Fail")</f>
        <v>Pass</v>
      </c>
      <c r="I18" s="39"/>
      <c r="J18" s="35"/>
    </row>
    <row r="19" spans="1:10" ht="43.5">
      <c r="A19" s="35" t="s">
        <v>118</v>
      </c>
      <c r="B19" s="35" t="s">
        <v>119</v>
      </c>
      <c r="C19" s="27">
        <v>2.85</v>
      </c>
      <c r="D19" s="27">
        <v>3.82</v>
      </c>
      <c r="E19" s="36">
        <f t="shared" si="1"/>
        <v>-0.25392670157068059</v>
      </c>
      <c r="F19" s="37" t="s">
        <v>120</v>
      </c>
      <c r="G19" s="42">
        <v>1.5</v>
      </c>
      <c r="H19" s="31" t="str">
        <f>IF(C19&gt;=1.5,"Pass","Fail")</f>
        <v>Pass</v>
      </c>
      <c r="I19" s="39"/>
      <c r="J19" s="35"/>
    </row>
    <row r="20" spans="1:10" ht="43.5">
      <c r="A20" s="37" t="s">
        <v>121</v>
      </c>
      <c r="B20" s="35" t="s">
        <v>122</v>
      </c>
      <c r="C20" s="27">
        <v>8.08</v>
      </c>
      <c r="D20" s="27">
        <v>9.94</v>
      </c>
      <c r="E20" s="36">
        <f t="shared" si="1"/>
        <v>-0.18712273641851102</v>
      </c>
      <c r="F20" s="37" t="s">
        <v>123</v>
      </c>
      <c r="G20" s="42">
        <v>3</v>
      </c>
      <c r="H20" s="31" t="str">
        <f>IF(C20&gt;=3,"Pass","Fail")</f>
        <v>Pass</v>
      </c>
      <c r="I20" s="39"/>
      <c r="J20" s="35"/>
    </row>
    <row r="21" spans="1:10" ht="108.95" customHeight="1">
      <c r="A21" s="35" t="s">
        <v>124</v>
      </c>
      <c r="B21" s="35" t="s">
        <v>125</v>
      </c>
      <c r="C21" s="27">
        <v>0.57999999999999996</v>
      </c>
      <c r="D21" s="27">
        <v>0.69</v>
      </c>
      <c r="E21" s="36">
        <f t="shared" si="1"/>
        <v>-0.15942028985507245</v>
      </c>
      <c r="F21" s="37" t="s">
        <v>126</v>
      </c>
      <c r="G21" s="42">
        <v>0.5</v>
      </c>
      <c r="H21" s="31" t="str">
        <f>IF(C21&gt;=0.5,"Pass","Fail")</f>
        <v>Pass</v>
      </c>
      <c r="I21" s="40" t="s">
        <v>127</v>
      </c>
      <c r="J21" s="35">
        <v>1.25</v>
      </c>
    </row>
    <row r="22" spans="1:10" ht="57.95">
      <c r="A22" s="35" t="s">
        <v>128</v>
      </c>
      <c r="B22" s="35" t="s">
        <v>129</v>
      </c>
      <c r="C22" s="27">
        <v>0.25</v>
      </c>
      <c r="D22" s="27">
        <v>0.25</v>
      </c>
      <c r="E22" s="36">
        <f t="shared" si="1"/>
        <v>0</v>
      </c>
      <c r="F22" s="37" t="s">
        <v>130</v>
      </c>
      <c r="G22" s="42">
        <v>0.6</v>
      </c>
      <c r="H22" s="31" t="str">
        <f>IF(C22&lt;0.6,"Pass","Fail")</f>
        <v>Pass</v>
      </c>
      <c r="I22" s="39"/>
      <c r="J22" s="35"/>
    </row>
    <row r="23" spans="1:10" ht="43.5">
      <c r="A23" s="35" t="s">
        <v>131</v>
      </c>
      <c r="B23" s="35" t="s">
        <v>132</v>
      </c>
      <c r="C23" s="27">
        <v>4</v>
      </c>
      <c r="D23" s="27">
        <v>4</v>
      </c>
      <c r="E23" s="36">
        <f t="shared" si="1"/>
        <v>0</v>
      </c>
      <c r="F23" s="37" t="s">
        <v>133</v>
      </c>
      <c r="G23" s="42">
        <v>30</v>
      </c>
      <c r="H23" s="31" t="str">
        <f>IF(C23&lt;30,"Pass","Fail")</f>
        <v>Pass</v>
      </c>
      <c r="I23" s="39"/>
      <c r="J23" s="35"/>
    </row>
    <row r="24" spans="1:10" ht="72.599999999999994">
      <c r="A24" s="35" t="s">
        <v>134</v>
      </c>
      <c r="B24" s="35" t="s">
        <v>135</v>
      </c>
      <c r="C24" s="41">
        <v>62</v>
      </c>
      <c r="D24" s="41">
        <v>67</v>
      </c>
      <c r="E24" s="36">
        <f t="shared" si="1"/>
        <v>-7.4626865671641784E-2</v>
      </c>
      <c r="F24" s="37" t="s">
        <v>136</v>
      </c>
      <c r="G24" s="42">
        <v>90</v>
      </c>
      <c r="H24" s="31" t="str">
        <f>IF(C24&lt;90,"Pass","Fail")</f>
        <v>Pass</v>
      </c>
      <c r="I24" s="39"/>
      <c r="J24" s="35"/>
    </row>
    <row r="25" spans="1:10" ht="43.5">
      <c r="A25" s="35" t="s">
        <v>97</v>
      </c>
      <c r="B25" s="35" t="s">
        <v>137</v>
      </c>
      <c r="C25" s="41">
        <v>23.64</v>
      </c>
      <c r="D25" s="41">
        <v>21.29</v>
      </c>
      <c r="E25" s="36">
        <f t="shared" si="1"/>
        <v>0.11038046031000477</v>
      </c>
      <c r="F25" s="37" t="s">
        <v>138</v>
      </c>
      <c r="G25" s="42">
        <v>15</v>
      </c>
      <c r="H25" s="31" t="str">
        <f>IF(C25&gt;15,"Pass","Fail")</f>
        <v>Pass</v>
      </c>
      <c r="I25" s="39"/>
      <c r="J25" s="35"/>
    </row>
    <row r="26" spans="1:10" ht="43.5">
      <c r="A26" s="35" t="s">
        <v>139</v>
      </c>
      <c r="B26" s="35" t="s">
        <v>140</v>
      </c>
      <c r="C26" s="41">
        <v>11.5</v>
      </c>
      <c r="D26" s="41">
        <v>10.54</v>
      </c>
      <c r="E26" s="36">
        <f t="shared" si="1"/>
        <v>9.108159392789382E-2</v>
      </c>
      <c r="F26" s="37" t="s">
        <v>141</v>
      </c>
      <c r="G26" s="42">
        <v>10</v>
      </c>
      <c r="H26" s="31" t="str">
        <f>IF(C26&gt;10,"Pass","Fail")</f>
        <v>Pass</v>
      </c>
      <c r="I26" s="39"/>
      <c r="J26" s="35"/>
    </row>
  </sheetData>
  <mergeCells count="3">
    <mergeCell ref="J1:L1"/>
    <mergeCell ref="J2:L2"/>
    <mergeCell ref="J3:L3"/>
  </mergeCells>
  <conditionalFormatting sqref="B3">
    <cfRule type="containsText" dxfId="57" priority="3" operator="containsText" text="Reject">
      <formula>NOT(ISERROR(SEARCH("Reject",B3)))</formula>
    </cfRule>
    <cfRule type="containsText" dxfId="56" priority="4" operator="containsText" text="Approve">
      <formula>NOT(ISERROR(SEARCH("Approve",B3)))</formula>
    </cfRule>
  </conditionalFormatting>
  <conditionalFormatting sqref="H7:H14">
    <cfRule type="containsText" dxfId="55" priority="7" operator="containsText" text="Fail">
      <formula>NOT(ISERROR(SEARCH("Fail",H7)))</formula>
    </cfRule>
    <cfRule type="containsText" dxfId="54" priority="8" operator="containsText" text="Pass">
      <formula>NOT(ISERROR(SEARCH("Pass",H7)))</formula>
    </cfRule>
  </conditionalFormatting>
  <conditionalFormatting sqref="H18:H26">
    <cfRule type="containsText" dxfId="53" priority="5" operator="containsText" text="Fail">
      <formula>NOT(ISERROR(SEARCH("Fail",H18)))</formula>
    </cfRule>
    <cfRule type="containsText" dxfId="52" priority="6" operator="containsText" text="Pass">
      <formula>NOT(ISERROR(SEARCH("Pass",H18)))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4F5E-47F2-456E-AE91-AD956809C21C}">
  <dimension ref="J1:M11"/>
  <sheetViews>
    <sheetView zoomScale="53" workbookViewId="0">
      <selection activeCell="M12" sqref="M12"/>
    </sheetView>
  </sheetViews>
  <sheetFormatPr defaultRowHeight="14.45"/>
  <cols>
    <col min="10" max="10" width="7.42578125" customWidth="1"/>
    <col min="11" max="11" width="62.85546875" customWidth="1"/>
    <col min="13" max="13" width="35.42578125" bestFit="1" customWidth="1"/>
  </cols>
  <sheetData>
    <row r="1" spans="10:13" ht="15" thickBot="1"/>
    <row r="2" spans="10:13" ht="15" thickBot="1">
      <c r="J2" s="4" t="s">
        <v>142</v>
      </c>
      <c r="K2" s="5" t="s">
        <v>143</v>
      </c>
      <c r="M2" s="2" t="s">
        <v>144</v>
      </c>
    </row>
    <row r="3" spans="10:13" ht="29.45" thickBot="1">
      <c r="J3" s="7">
        <v>1</v>
      </c>
      <c r="K3" s="6" t="s">
        <v>145</v>
      </c>
      <c r="M3" s="3" t="s">
        <v>146</v>
      </c>
    </row>
    <row r="4" spans="10:13" ht="29.45" thickBot="1">
      <c r="J4" s="7">
        <v>2</v>
      </c>
      <c r="K4" s="6" t="s">
        <v>147</v>
      </c>
      <c r="M4" s="3" t="s">
        <v>148</v>
      </c>
    </row>
    <row r="5" spans="10:13" ht="44.1" thickBot="1">
      <c r="J5" s="7">
        <v>3</v>
      </c>
      <c r="K5" s="6" t="s">
        <v>149</v>
      </c>
      <c r="M5" s="3" t="s">
        <v>150</v>
      </c>
    </row>
    <row r="6" spans="10:13" ht="29.45" thickBot="1">
      <c r="J6" s="7">
        <v>4</v>
      </c>
      <c r="K6" s="6" t="s">
        <v>151</v>
      </c>
      <c r="M6" s="3" t="s">
        <v>152</v>
      </c>
    </row>
    <row r="7" spans="10:13" ht="29.45" thickBot="1">
      <c r="J7" s="7">
        <v>5</v>
      </c>
      <c r="K7" s="6" t="s">
        <v>153</v>
      </c>
      <c r="M7" s="3" t="s">
        <v>154</v>
      </c>
    </row>
    <row r="8" spans="10:13" ht="44.1" thickBot="1">
      <c r="M8" s="3" t="s">
        <v>155</v>
      </c>
    </row>
    <row r="9" spans="10:13" ht="15" thickBot="1">
      <c r="M9" s="3" t="s">
        <v>156</v>
      </c>
    </row>
    <row r="10" spans="10:13" ht="29.45" thickBot="1">
      <c r="M10" s="3" t="s">
        <v>157</v>
      </c>
    </row>
    <row r="11" spans="10:13" ht="58.5" thickBot="1">
      <c r="M11" s="3"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AE1E-05FB-4ED9-90DB-5CDF3D9B4B34}">
  <dimension ref="A1:I35"/>
  <sheetViews>
    <sheetView zoomScaleNormal="100" workbookViewId="0">
      <selection activeCell="A3" sqref="A3:C8"/>
    </sheetView>
  </sheetViews>
  <sheetFormatPr defaultColWidth="8.5703125" defaultRowHeight="14.45"/>
  <cols>
    <col min="1" max="1" width="22.140625" style="47" customWidth="1"/>
    <col min="2" max="2" width="26.42578125" style="47" customWidth="1"/>
    <col min="3" max="3" width="39.42578125" style="47" customWidth="1"/>
    <col min="4" max="4" width="18.5703125" style="47" customWidth="1"/>
    <col min="5" max="5" width="31.140625" style="48" customWidth="1"/>
    <col min="6" max="6" width="37.140625" style="48" customWidth="1"/>
    <col min="7" max="7" width="33.5703125" style="48" customWidth="1"/>
    <col min="8" max="16384" width="8.5703125" style="47"/>
  </cols>
  <sheetData>
    <row r="1" spans="1:9" ht="18.600000000000001">
      <c r="A1" s="1" t="s">
        <v>159</v>
      </c>
      <c r="E1" s="47"/>
      <c r="F1" s="47"/>
      <c r="G1" s="15" t="s">
        <v>2</v>
      </c>
      <c r="H1" s="16" t="s">
        <v>80</v>
      </c>
      <c r="I1" s="48"/>
    </row>
    <row r="2" spans="1:9">
      <c r="E2" s="47"/>
      <c r="F2" s="47"/>
      <c r="G2" s="17" t="s">
        <v>4</v>
      </c>
      <c r="H2" s="16" t="s">
        <v>81</v>
      </c>
      <c r="I2" s="48"/>
    </row>
    <row r="3" spans="1:9">
      <c r="A3" s="30" t="s">
        <v>160</v>
      </c>
      <c r="B3" s="30" t="s">
        <v>161</v>
      </c>
      <c r="C3" s="30" t="s">
        <v>162</v>
      </c>
      <c r="D3"/>
      <c r="E3"/>
      <c r="F3" s="47"/>
      <c r="G3" s="20" t="s">
        <v>10</v>
      </c>
      <c r="H3" s="16" t="s">
        <v>83</v>
      </c>
      <c r="I3" s="48"/>
    </row>
    <row r="4" spans="1:9">
      <c r="A4" s="49">
        <v>5</v>
      </c>
      <c r="B4" s="49" t="s">
        <v>163</v>
      </c>
      <c r="C4" s="49" t="s">
        <v>164</v>
      </c>
      <c r="D4" s="73"/>
      <c r="E4" s="73"/>
      <c r="F4" s="47"/>
      <c r="H4" s="48"/>
      <c r="I4" s="48"/>
    </row>
    <row r="5" spans="1:9">
      <c r="A5" s="49">
        <v>4</v>
      </c>
      <c r="B5" s="49" t="s">
        <v>165</v>
      </c>
      <c r="C5" s="49" t="s">
        <v>166</v>
      </c>
      <c r="D5" s="73"/>
      <c r="E5" s="47"/>
      <c r="H5" s="48"/>
    </row>
    <row r="6" spans="1:9">
      <c r="A6" s="49">
        <v>3</v>
      </c>
      <c r="B6" s="49" t="s">
        <v>167</v>
      </c>
      <c r="C6" s="49" t="s">
        <v>168</v>
      </c>
    </row>
    <row r="7" spans="1:9">
      <c r="A7" s="49">
        <v>2</v>
      </c>
      <c r="B7" s="49" t="s">
        <v>169</v>
      </c>
      <c r="C7" s="49" t="s">
        <v>170</v>
      </c>
    </row>
    <row r="8" spans="1:9">
      <c r="A8" s="49">
        <v>1</v>
      </c>
      <c r="B8" s="49" t="s">
        <v>171</v>
      </c>
      <c r="C8" s="49" t="s">
        <v>172</v>
      </c>
    </row>
    <row r="10" spans="1:9">
      <c r="A10" s="30" t="s">
        <v>173</v>
      </c>
      <c r="B10" s="49" t="str">
        <f>D24</f>
        <v>Low Risk</v>
      </c>
    </row>
    <row r="12" spans="1:9">
      <c r="A12" s="30" t="s">
        <v>174</v>
      </c>
      <c r="B12" s="30" t="s">
        <v>175</v>
      </c>
      <c r="C12" s="30" t="s">
        <v>176</v>
      </c>
      <c r="D12" s="30" t="s">
        <v>177</v>
      </c>
      <c r="E12" s="33" t="s">
        <v>178</v>
      </c>
      <c r="F12" s="33" t="s">
        <v>114</v>
      </c>
      <c r="G12" s="33" t="s">
        <v>179</v>
      </c>
    </row>
    <row r="13" spans="1:9" ht="29.1">
      <c r="A13" s="50" t="s">
        <v>180</v>
      </c>
      <c r="B13" s="122">
        <v>25</v>
      </c>
      <c r="C13" s="125">
        <f>F35</f>
        <v>4.1500000000000004</v>
      </c>
      <c r="D13" s="126">
        <f t="shared" ref="D13:D20" si="0">(B13*C13)/100</f>
        <v>1.0375000000000001</v>
      </c>
      <c r="E13" s="52" t="s">
        <v>181</v>
      </c>
      <c r="F13" s="52" t="s">
        <v>182</v>
      </c>
      <c r="G13" s="52" t="s">
        <v>183</v>
      </c>
    </row>
    <row r="14" spans="1:9" ht="29.1">
      <c r="A14" s="50" t="s">
        <v>184</v>
      </c>
      <c r="B14" s="122">
        <v>15</v>
      </c>
      <c r="C14" s="125">
        <v>3</v>
      </c>
      <c r="D14" s="126">
        <f t="shared" si="0"/>
        <v>0.45</v>
      </c>
      <c r="E14" s="52" t="s">
        <v>185</v>
      </c>
      <c r="F14" s="52" t="s">
        <v>186</v>
      </c>
      <c r="G14" s="52" t="s">
        <v>187</v>
      </c>
    </row>
    <row r="15" spans="1:9" ht="29.1">
      <c r="A15" s="50" t="s">
        <v>188</v>
      </c>
      <c r="B15" s="122">
        <v>15</v>
      </c>
      <c r="C15" s="125">
        <v>4</v>
      </c>
      <c r="D15" s="126">
        <f t="shared" si="0"/>
        <v>0.6</v>
      </c>
      <c r="E15" s="52" t="s">
        <v>189</v>
      </c>
      <c r="F15" s="52" t="s">
        <v>190</v>
      </c>
      <c r="G15" s="52" t="s">
        <v>191</v>
      </c>
    </row>
    <row r="16" spans="1:9" ht="29.1">
      <c r="A16" s="50" t="s">
        <v>192</v>
      </c>
      <c r="B16" s="122">
        <v>15</v>
      </c>
      <c r="C16" s="125">
        <v>4</v>
      </c>
      <c r="D16" s="126">
        <f t="shared" si="0"/>
        <v>0.6</v>
      </c>
      <c r="E16" s="52" t="s">
        <v>193</v>
      </c>
      <c r="F16" s="52" t="s">
        <v>194</v>
      </c>
      <c r="G16" s="52" t="s">
        <v>195</v>
      </c>
    </row>
    <row r="17" spans="1:7" ht="29.1">
      <c r="A17" s="50" t="s">
        <v>196</v>
      </c>
      <c r="B17" s="122">
        <v>10</v>
      </c>
      <c r="C17" s="125">
        <v>2</v>
      </c>
      <c r="D17" s="126">
        <f t="shared" si="0"/>
        <v>0.2</v>
      </c>
      <c r="E17" s="52" t="s">
        <v>197</v>
      </c>
      <c r="F17" s="52" t="s">
        <v>198</v>
      </c>
      <c r="G17" s="52" t="s">
        <v>199</v>
      </c>
    </row>
    <row r="18" spans="1:7">
      <c r="A18" s="50" t="s">
        <v>200</v>
      </c>
      <c r="B18" s="122">
        <v>10</v>
      </c>
      <c r="C18" s="125">
        <v>4</v>
      </c>
      <c r="D18" s="126">
        <f t="shared" si="0"/>
        <v>0.4</v>
      </c>
      <c r="E18" s="52" t="s">
        <v>201</v>
      </c>
      <c r="F18" s="52" t="s">
        <v>202</v>
      </c>
      <c r="G18" s="52" t="s">
        <v>203</v>
      </c>
    </row>
    <row r="19" spans="1:7" ht="29.1">
      <c r="A19" s="50" t="s">
        <v>204</v>
      </c>
      <c r="B19" s="122">
        <v>5</v>
      </c>
      <c r="C19" s="125">
        <v>5</v>
      </c>
      <c r="D19" s="126">
        <f t="shared" si="0"/>
        <v>0.25</v>
      </c>
      <c r="E19" s="52" t="s">
        <v>205</v>
      </c>
      <c r="F19" s="52" t="s">
        <v>206</v>
      </c>
      <c r="G19" s="52" t="s">
        <v>207</v>
      </c>
    </row>
    <row r="20" spans="1:7">
      <c r="A20" s="50" t="s">
        <v>208</v>
      </c>
      <c r="B20" s="123">
        <v>5</v>
      </c>
      <c r="C20" s="125">
        <v>5</v>
      </c>
      <c r="D20" s="126">
        <f t="shared" si="0"/>
        <v>0.25</v>
      </c>
      <c r="E20" s="52" t="s">
        <v>209</v>
      </c>
      <c r="F20" s="52" t="s">
        <v>210</v>
      </c>
      <c r="G20" s="52" t="s">
        <v>211</v>
      </c>
    </row>
    <row r="21" spans="1:7" ht="15" thickBot="1">
      <c r="A21" s="53" t="s">
        <v>212</v>
      </c>
      <c r="B21" s="124">
        <f>SUM(B13:B20)</f>
        <v>100</v>
      </c>
    </row>
    <row r="22" spans="1:7" ht="15" thickTop="1"/>
    <row r="23" spans="1:7">
      <c r="A23" s="54" t="s">
        <v>213</v>
      </c>
      <c r="B23" s="54"/>
      <c r="C23" s="54"/>
      <c r="D23" s="54">
        <f>SUM(D13:D20)</f>
        <v>3.7875000000000001</v>
      </c>
    </row>
    <row r="24" spans="1:7">
      <c r="A24" s="54" t="s">
        <v>214</v>
      </c>
      <c r="B24" s="54"/>
      <c r="C24" s="54"/>
      <c r="D24" s="54" t="str">
        <f>INDEX($C$4:$C$8,MATCH(ROUND(D23,0),$A$4:$A$8,0))</f>
        <v>Low Risk</v>
      </c>
    </row>
    <row r="28" spans="1:7">
      <c r="A28" s="55" t="s">
        <v>215</v>
      </c>
      <c r="B28" s="56"/>
      <c r="C28" s="56"/>
      <c r="D28" s="56"/>
      <c r="E28" s="56"/>
      <c r="F28" s="56"/>
    </row>
    <row r="29" spans="1:7">
      <c r="A29" s="57" t="s">
        <v>85</v>
      </c>
      <c r="B29" s="57" t="s">
        <v>216</v>
      </c>
      <c r="C29" s="65" t="s">
        <v>217</v>
      </c>
      <c r="D29" s="57" t="s">
        <v>160</v>
      </c>
      <c r="E29" s="57" t="s">
        <v>218</v>
      </c>
      <c r="F29" s="57" t="s">
        <v>219</v>
      </c>
    </row>
    <row r="30" spans="1:7" ht="26.1">
      <c r="A30" s="58" t="s">
        <v>220</v>
      </c>
      <c r="B30" s="127">
        <f>'2-Financial Analysis'!C19</f>
        <v>2.85</v>
      </c>
      <c r="C30" s="59" t="s">
        <v>221</v>
      </c>
      <c r="D30" s="60">
        <f>IF(B30&gt;=2,5,IF(B30&gt;=1.5,4,IF(B30&gt;=1.25,3,IF(B30&gt;=1,2,1))))</f>
        <v>5</v>
      </c>
      <c r="E30" s="64">
        <v>0.35</v>
      </c>
      <c r="F30" s="61">
        <f>D30*E30</f>
        <v>1.75</v>
      </c>
    </row>
    <row r="31" spans="1:7">
      <c r="A31" s="58" t="s">
        <v>222</v>
      </c>
      <c r="B31" s="127">
        <f>'2-Financial Analysis'!C20</f>
        <v>8.08</v>
      </c>
      <c r="C31" s="59" t="s">
        <v>223</v>
      </c>
      <c r="D31" s="60">
        <f>IF(B31&gt;=3,5,IF(B31&gt;=2,3,IF(B31&gt;=1,2,1)))</f>
        <v>5</v>
      </c>
      <c r="E31" s="64">
        <v>0.25</v>
      </c>
      <c r="F31" s="61">
        <f>D31*E31</f>
        <v>1.25</v>
      </c>
    </row>
    <row r="32" spans="1:7">
      <c r="A32" s="58" t="s">
        <v>224</v>
      </c>
      <c r="B32" s="127">
        <f>'2-Financial Analysis'!C21</f>
        <v>0.57999999999999996</v>
      </c>
      <c r="C32" s="59" t="s">
        <v>225</v>
      </c>
      <c r="D32" s="60">
        <f>IF(B32&gt;=1.5,5,IF(B32&gt;=1.2,3,IF(B32&gt;=1,2,1)))</f>
        <v>1</v>
      </c>
      <c r="E32" s="64">
        <v>0.15</v>
      </c>
      <c r="F32" s="61">
        <f>D32*E32</f>
        <v>0.15</v>
      </c>
    </row>
    <row r="33" spans="1:6" ht="26.1">
      <c r="A33" s="58" t="s">
        <v>226</v>
      </c>
      <c r="B33" s="127">
        <f>'2-Financial Analysis'!C18</f>
        <v>0.5</v>
      </c>
      <c r="C33" s="59" t="s">
        <v>227</v>
      </c>
      <c r="D33" s="60">
        <f>IF(B33&lt;=1,4,IF(B33&lt;=2,3,IF(B33&lt;=3,2,1)))</f>
        <v>4</v>
      </c>
      <c r="E33" s="64">
        <v>0.25</v>
      </c>
      <c r="F33" s="61">
        <f>D33*E33</f>
        <v>1</v>
      </c>
    </row>
    <row r="34" spans="1:6">
      <c r="B34" s="73"/>
      <c r="E34" s="47"/>
      <c r="F34" s="47"/>
    </row>
    <row r="35" spans="1:6" ht="24.95">
      <c r="A35" s="46" t="s">
        <v>228</v>
      </c>
      <c r="B35" s="128"/>
      <c r="C35" s="44" t="s">
        <v>229</v>
      </c>
      <c r="D35" s="45"/>
      <c r="E35" s="62">
        <f>SUM(E30:E33)</f>
        <v>1</v>
      </c>
      <c r="F35" s="63">
        <f>SUM(F30:F33)</f>
        <v>4.1500000000000004</v>
      </c>
    </row>
  </sheetData>
  <conditionalFormatting sqref="B10">
    <cfRule type="containsText" dxfId="51" priority="1" operator="containsText" text="high">
      <formula>NOT(ISERROR(SEARCH("high",B10)))</formula>
    </cfRule>
    <cfRule type="containsText" dxfId="50" priority="2" operator="containsText" text="elevated">
      <formula>NOT(ISERROR(SEARCH("elevated",B10)))</formula>
    </cfRule>
    <cfRule type="containsText" dxfId="49" priority="3" operator="containsText" text="moderate">
      <formula>NOT(ISERROR(SEARCH("moderate",B10)))</formula>
    </cfRule>
    <cfRule type="containsText" dxfId="48" priority="4" operator="containsText" text="low">
      <formula>NOT(ISERROR(SEARCH("low",B10)))</formula>
    </cfRule>
    <cfRule type="containsText" dxfId="47" priority="5" operator="containsText" text="Reject">
      <formula>NOT(ISERROR(SEARCH("Reject",B10)))</formula>
    </cfRule>
    <cfRule type="containsText" dxfId="46" priority="6" operator="containsText" text="Approve">
      <formula>NOT(ISERROR(SEARCH("Approve",B10)))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A24C-8889-4ADD-8A85-06A8DB7D679E}">
  <dimension ref="A1:M14"/>
  <sheetViews>
    <sheetView zoomScale="145" zoomScaleNormal="145" workbookViewId="0">
      <selection activeCell="A3" sqref="A3:H4"/>
    </sheetView>
  </sheetViews>
  <sheetFormatPr defaultColWidth="8.5703125" defaultRowHeight="14.45"/>
  <cols>
    <col min="1" max="1" width="29.85546875" style="28" customWidth="1"/>
    <col min="2" max="2" width="16.5703125" style="28" customWidth="1"/>
    <col min="3" max="3" width="12.42578125" style="28" customWidth="1"/>
    <col min="4" max="4" width="12.5703125" style="28" bestFit="1" customWidth="1"/>
    <col min="5" max="5" width="10.42578125" style="28" customWidth="1"/>
    <col min="6" max="6" width="15.140625" style="28" customWidth="1"/>
    <col min="7" max="16384" width="8.5703125" style="28"/>
  </cols>
  <sheetData>
    <row r="1" spans="1:13">
      <c r="A1" s="90" t="s">
        <v>230</v>
      </c>
      <c r="L1" s="113" t="s">
        <v>2</v>
      </c>
      <c r="M1" s="114" t="s">
        <v>80</v>
      </c>
    </row>
    <row r="2" spans="1:13">
      <c r="L2" s="115" t="s">
        <v>4</v>
      </c>
      <c r="M2" s="114" t="s">
        <v>81</v>
      </c>
    </row>
    <row r="3" spans="1:13">
      <c r="A3" s="141" t="s">
        <v>231</v>
      </c>
      <c r="B3" s="141"/>
      <c r="C3" s="141"/>
      <c r="D3" s="141"/>
      <c r="E3" s="141"/>
      <c r="F3" s="141"/>
      <c r="G3" s="141"/>
      <c r="H3" s="141"/>
      <c r="L3" s="116" t="s">
        <v>10</v>
      </c>
      <c r="M3" s="114" t="s">
        <v>83</v>
      </c>
    </row>
    <row r="4" spans="1:13" ht="29.45" customHeight="1">
      <c r="A4" s="141"/>
      <c r="B4" s="141"/>
      <c r="C4" s="141"/>
      <c r="D4" s="141"/>
      <c r="E4" s="141"/>
      <c r="F4" s="141"/>
      <c r="G4" s="141"/>
      <c r="H4" s="141"/>
    </row>
    <row r="10" spans="1:13">
      <c r="A10" s="110" t="s">
        <v>232</v>
      </c>
      <c r="B10" s="110" t="s">
        <v>90</v>
      </c>
      <c r="C10" s="110" t="s">
        <v>233</v>
      </c>
      <c r="D10" s="110" t="s">
        <v>234</v>
      </c>
      <c r="E10" s="110" t="s">
        <v>235</v>
      </c>
    </row>
    <row r="11" spans="1:13">
      <c r="A11" s="117" t="s">
        <v>236</v>
      </c>
      <c r="B11" s="118">
        <v>1.5</v>
      </c>
      <c r="C11" s="119">
        <f>'2-Financial Analysis'!C19</f>
        <v>2.85</v>
      </c>
      <c r="D11" s="120">
        <f>(C11-B11)/B11</f>
        <v>0.9</v>
      </c>
      <c r="E11" s="121" t="str">
        <f>IF(D11&gt;0.2,"GREEN",IF(D11&gt;=0.05,"AMBER","RED"))</f>
        <v>GREEN</v>
      </c>
    </row>
    <row r="12" spans="1:13">
      <c r="A12" s="117" t="s">
        <v>237</v>
      </c>
      <c r="B12" s="118">
        <v>2</v>
      </c>
      <c r="C12" s="119">
        <f>'2-Financial Analysis'!C20</f>
        <v>8.08</v>
      </c>
      <c r="D12" s="120">
        <f>(C12-B12)/B12</f>
        <v>3.04</v>
      </c>
      <c r="E12" s="121" t="str">
        <f>IF(D12&gt;0.2,"GREEN",IF(D12&gt;=0.05,"AMBER","RED"))</f>
        <v>GREEN</v>
      </c>
    </row>
    <row r="14" spans="1:13">
      <c r="D14" s="105" t="s">
        <v>238</v>
      </c>
      <c r="E14" s="81" t="str">
        <f>IF(COUNTIF(E11:E12,"AMBER")+COUNTIF(E11:E12,"RED")&gt;0,"NOT PASS","PASS")</f>
        <v>PASS</v>
      </c>
    </row>
  </sheetData>
  <mergeCells count="1">
    <mergeCell ref="A3:H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8248-B0B7-4ECA-8583-973F972BF65C}">
  <dimension ref="A1:H30"/>
  <sheetViews>
    <sheetView zoomScale="115" zoomScaleNormal="115" workbookViewId="0">
      <selection activeCell="D24" sqref="D24"/>
    </sheetView>
  </sheetViews>
  <sheetFormatPr defaultRowHeight="14.45"/>
  <cols>
    <col min="1" max="1" width="27.140625" customWidth="1"/>
    <col min="2" max="2" width="26.42578125" customWidth="1"/>
    <col min="3" max="3" width="19.5703125" customWidth="1"/>
    <col min="4" max="4" width="22.5703125" customWidth="1"/>
    <col min="5" max="5" width="19" customWidth="1"/>
    <col min="6" max="6" width="38.5703125" customWidth="1"/>
    <col min="7" max="7" width="37.42578125" bestFit="1" customWidth="1"/>
    <col min="8" max="8" width="28.5703125" customWidth="1"/>
  </cols>
  <sheetData>
    <row r="1" spans="1:8" ht="18.600000000000001">
      <c r="A1" s="1" t="s">
        <v>239</v>
      </c>
      <c r="F1" s="69" t="s">
        <v>2</v>
      </c>
      <c r="G1" s="70" t="s">
        <v>80</v>
      </c>
      <c r="H1" s="9"/>
    </row>
    <row r="2" spans="1:8">
      <c r="F2" s="71" t="s">
        <v>4</v>
      </c>
      <c r="G2" s="142" t="s">
        <v>81</v>
      </c>
      <c r="H2" s="143"/>
    </row>
    <row r="3" spans="1:8">
      <c r="A3" s="30" t="s">
        <v>240</v>
      </c>
      <c r="B3" s="30" t="s">
        <v>241</v>
      </c>
      <c r="F3" s="72" t="s">
        <v>10</v>
      </c>
      <c r="G3" s="70" t="s">
        <v>83</v>
      </c>
      <c r="H3" s="9"/>
    </row>
    <row r="4" spans="1:8">
      <c r="A4" s="49" t="s">
        <v>242</v>
      </c>
      <c r="B4" s="49" t="s">
        <v>243</v>
      </c>
    </row>
    <row r="5" spans="1:8">
      <c r="A5" s="49" t="s">
        <v>244</v>
      </c>
      <c r="B5" s="49" t="s">
        <v>245</v>
      </c>
      <c r="E5" s="8"/>
      <c r="F5" s="74"/>
    </row>
    <row r="6" spans="1:8">
      <c r="A6" s="49" t="s">
        <v>246</v>
      </c>
      <c r="B6" s="49" t="s">
        <v>247</v>
      </c>
      <c r="E6" s="8"/>
      <c r="F6" s="74"/>
    </row>
    <row r="7" spans="1:8">
      <c r="A7" s="49" t="s">
        <v>248</v>
      </c>
      <c r="B7" s="49" t="s">
        <v>249</v>
      </c>
    </row>
    <row r="8" spans="1:8">
      <c r="A8" s="49" t="s">
        <v>250</v>
      </c>
      <c r="B8" s="49" t="s">
        <v>251</v>
      </c>
    </row>
    <row r="9" spans="1:8">
      <c r="A9" s="49" t="s">
        <v>252</v>
      </c>
      <c r="B9" s="49" t="s">
        <v>251</v>
      </c>
    </row>
    <row r="10" spans="1:8">
      <c r="A10" s="49" t="s">
        <v>253</v>
      </c>
      <c r="B10" s="49" t="s">
        <v>254</v>
      </c>
    </row>
    <row r="11" spans="1:8">
      <c r="A11" s="73"/>
      <c r="B11" s="73"/>
    </row>
    <row r="12" spans="1:8">
      <c r="A12" s="30" t="s">
        <v>255</v>
      </c>
      <c r="B12" s="49" t="str">
        <f>D24</f>
        <v>High collateral risk</v>
      </c>
    </row>
    <row r="14" spans="1:8">
      <c r="A14" s="30" t="s">
        <v>240</v>
      </c>
      <c r="B14" s="30" t="s">
        <v>256</v>
      </c>
      <c r="C14" s="30" t="s">
        <v>257</v>
      </c>
      <c r="D14" s="30" t="s">
        <v>258</v>
      </c>
      <c r="E14" s="30" t="s">
        <v>196</v>
      </c>
      <c r="F14" s="30" t="s">
        <v>259</v>
      </c>
      <c r="G14" s="30" t="s">
        <v>260</v>
      </c>
      <c r="H14" s="30" t="s">
        <v>261</v>
      </c>
    </row>
    <row r="15" spans="1:8">
      <c r="A15" s="9" t="s">
        <v>262</v>
      </c>
      <c r="B15" s="129">
        <v>3104</v>
      </c>
      <c r="C15" s="49">
        <v>5</v>
      </c>
      <c r="D15" s="130">
        <f>B15*(1-C15/100)</f>
        <v>2948.7999999999997</v>
      </c>
      <c r="E15" s="10" t="s">
        <v>263</v>
      </c>
      <c r="F15" s="10" t="s">
        <v>264</v>
      </c>
      <c r="G15" s="9" t="s">
        <v>265</v>
      </c>
      <c r="H15" s="9" t="s">
        <v>266</v>
      </c>
    </row>
    <row r="16" spans="1:8">
      <c r="A16" s="9" t="s">
        <v>267</v>
      </c>
      <c r="B16" s="129">
        <v>94529</v>
      </c>
      <c r="C16" s="49">
        <v>30</v>
      </c>
      <c r="D16" s="130">
        <f t="shared" ref="D16:D19" si="0">B16*(1-C16/100)</f>
        <v>66170.3</v>
      </c>
      <c r="E16" s="10" t="s">
        <v>268</v>
      </c>
      <c r="F16" s="10" t="s">
        <v>264</v>
      </c>
      <c r="G16" s="9" t="s">
        <v>269</v>
      </c>
      <c r="H16" s="9" t="s">
        <v>270</v>
      </c>
    </row>
    <row r="17" spans="1:8">
      <c r="A17" s="9" t="s">
        <v>248</v>
      </c>
      <c r="B17" s="129">
        <v>1632</v>
      </c>
      <c r="C17" s="49">
        <v>25</v>
      </c>
      <c r="D17" s="130">
        <f t="shared" si="0"/>
        <v>1224</v>
      </c>
      <c r="E17" s="10" t="s">
        <v>271</v>
      </c>
      <c r="F17" s="10" t="s">
        <v>264</v>
      </c>
      <c r="G17" s="9" t="s">
        <v>272</v>
      </c>
      <c r="H17" s="9" t="s">
        <v>273</v>
      </c>
    </row>
    <row r="18" spans="1:8">
      <c r="A18" s="9" t="s">
        <v>250</v>
      </c>
      <c r="B18" s="129">
        <v>23059</v>
      </c>
      <c r="C18" s="49">
        <v>50</v>
      </c>
      <c r="D18" s="130">
        <f t="shared" si="0"/>
        <v>11529.5</v>
      </c>
      <c r="E18" s="10" t="s">
        <v>271</v>
      </c>
      <c r="F18" s="10" t="s">
        <v>264</v>
      </c>
      <c r="G18" s="9" t="s">
        <v>274</v>
      </c>
      <c r="H18" s="9" t="s">
        <v>275</v>
      </c>
    </row>
    <row r="19" spans="1:8">
      <c r="A19" s="9" t="s">
        <v>276</v>
      </c>
      <c r="B19" s="129">
        <v>109060</v>
      </c>
      <c r="C19" s="49">
        <v>45</v>
      </c>
      <c r="D19" s="130">
        <f t="shared" si="0"/>
        <v>59983.000000000007</v>
      </c>
      <c r="E19" s="10" t="s">
        <v>277</v>
      </c>
      <c r="F19" s="10" t="s">
        <v>278</v>
      </c>
      <c r="G19" s="9" t="s">
        <v>279</v>
      </c>
      <c r="H19" s="9" t="s">
        <v>280</v>
      </c>
    </row>
    <row r="20" spans="1:8">
      <c r="B20" s="73"/>
      <c r="C20" s="73"/>
      <c r="D20" s="73"/>
    </row>
    <row r="21" spans="1:8">
      <c r="A21" s="54" t="s">
        <v>281</v>
      </c>
      <c r="B21" s="49"/>
      <c r="C21" s="49"/>
      <c r="D21" s="130">
        <f>SUM(D15:D19)</f>
        <v>141855.6</v>
      </c>
    </row>
    <row r="22" spans="1:8">
      <c r="A22" s="54" t="s">
        <v>282</v>
      </c>
      <c r="B22" s="49"/>
      <c r="C22" s="49"/>
      <c r="D22" s="129">
        <f>'1-Input Data'!B30</f>
        <v>69049.26999999999</v>
      </c>
    </row>
    <row r="23" spans="1:8">
      <c r="A23" s="54" t="s">
        <v>283</v>
      </c>
      <c r="B23" s="49"/>
      <c r="C23" s="49"/>
      <c r="D23" s="131">
        <f>D21/D22</f>
        <v>2.0544112921106916</v>
      </c>
    </row>
    <row r="24" spans="1:8" ht="15" thickBot="1">
      <c r="A24" s="54" t="s">
        <v>284</v>
      </c>
      <c r="B24" s="49"/>
      <c r="C24" s="49"/>
      <c r="D24" s="132" t="str">
        <f>IF(D23&gt;125,$C$28,IF(D23&gt;=100,$C$29,$C$30))</f>
        <v>High collateral risk</v>
      </c>
    </row>
    <row r="25" spans="1:8" ht="15" thickTop="1"/>
    <row r="27" spans="1:8">
      <c r="A27" s="30" t="s">
        <v>283</v>
      </c>
      <c r="B27" s="30" t="s">
        <v>114</v>
      </c>
      <c r="C27" s="30" t="s">
        <v>285</v>
      </c>
    </row>
    <row r="28" spans="1:8" ht="87">
      <c r="A28" s="10" t="s">
        <v>286</v>
      </c>
      <c r="B28" s="75" t="s">
        <v>287</v>
      </c>
      <c r="C28" s="10" t="s">
        <v>288</v>
      </c>
    </row>
    <row r="29" spans="1:8" ht="87">
      <c r="A29" s="10" t="s">
        <v>289</v>
      </c>
      <c r="B29" s="75" t="s">
        <v>290</v>
      </c>
      <c r="C29" s="10" t="s">
        <v>291</v>
      </c>
    </row>
    <row r="30" spans="1:8" ht="116.1">
      <c r="A30" s="10" t="s">
        <v>292</v>
      </c>
      <c r="B30" s="75" t="s">
        <v>293</v>
      </c>
      <c r="C30" s="10" t="s">
        <v>294</v>
      </c>
    </row>
  </sheetData>
  <mergeCells count="1">
    <mergeCell ref="G2:H2"/>
  </mergeCells>
  <conditionalFormatting sqref="B12">
    <cfRule type="containsText" dxfId="45" priority="4" operator="containsText" text="high">
      <formula>NOT(ISERROR(SEARCH("high",B12)))</formula>
    </cfRule>
    <cfRule type="containsText" dxfId="44" priority="5" operator="containsText" text="moderate">
      <formula>NOT(ISERROR(SEARCH("moderate",B12)))</formula>
    </cfRule>
    <cfRule type="containsText" dxfId="43" priority="6" operator="containsText" text="high">
      <formula>NOT(ISERROR(SEARCH("high",B12)))</formula>
    </cfRule>
    <cfRule type="containsText" dxfId="42" priority="7" operator="containsText" text="elevated">
      <formula>NOT(ISERROR(SEARCH("elevated",B12)))</formula>
    </cfRule>
    <cfRule type="containsText" dxfId="41" priority="8" operator="containsText" text="moderate">
      <formula>NOT(ISERROR(SEARCH("moderate",B12)))</formula>
    </cfRule>
    <cfRule type="containsText" dxfId="40" priority="9" operator="containsText" text="low">
      <formula>NOT(ISERROR(SEARCH("low",B12)))</formula>
    </cfRule>
    <cfRule type="containsText" dxfId="39" priority="10" operator="containsText" text="Reject">
      <formula>NOT(ISERROR(SEARCH("Reject",B12)))</formula>
    </cfRule>
    <cfRule type="containsText" dxfId="38" priority="11" operator="containsText" text="Approve">
      <formula>NOT(ISERROR(SEARCH("Approve",B12)))</formula>
    </cfRule>
  </conditionalFormatting>
  <conditionalFormatting sqref="D24">
    <cfRule type="containsText" dxfId="37" priority="1" operator="containsText" text="high">
      <formula>NOT(ISERROR(SEARCH("high",D24)))</formula>
    </cfRule>
    <cfRule type="containsText" dxfId="36" priority="2" operator="containsText" text="moderate">
      <formula>NOT(ISERROR(SEARCH("moderate",D24)))</formula>
    </cfRule>
    <cfRule type="containsText" dxfId="35" priority="3" operator="containsText" text="low">
      <formula>NOT(ISERROR(SEARCH("low",D24)))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74CD-F53F-4A5C-88FB-815AEC12C00A}">
  <dimension ref="A1:I40"/>
  <sheetViews>
    <sheetView zoomScale="115" zoomScaleNormal="115" workbookViewId="0">
      <selection activeCell="B25" sqref="B25"/>
    </sheetView>
  </sheetViews>
  <sheetFormatPr defaultColWidth="8.5703125" defaultRowHeight="14.45"/>
  <cols>
    <col min="1" max="1" width="32.140625" style="28" customWidth="1"/>
    <col min="2" max="2" width="26.85546875" style="28" customWidth="1"/>
    <col min="3" max="3" width="11.42578125" style="28" customWidth="1"/>
    <col min="4" max="4" width="9.42578125" style="28" bestFit="1" customWidth="1"/>
    <col min="5" max="5" width="12.42578125" style="28" customWidth="1"/>
    <col min="6" max="8" width="8.5703125" style="28"/>
    <col min="9" max="9" width="28.140625" style="28" customWidth="1"/>
    <col min="10" max="16384" width="8.5703125" style="28"/>
  </cols>
  <sheetData>
    <row r="1" spans="1:9" ht="29.1">
      <c r="A1" s="90" t="s">
        <v>295</v>
      </c>
      <c r="H1" s="91" t="s">
        <v>2</v>
      </c>
      <c r="I1" s="92" t="s">
        <v>80</v>
      </c>
    </row>
    <row r="2" spans="1:9" ht="29.1">
      <c r="H2" s="93" t="s">
        <v>4</v>
      </c>
      <c r="I2" s="92" t="s">
        <v>81</v>
      </c>
    </row>
    <row r="3" spans="1:9" ht="29.1">
      <c r="A3" s="82" t="s">
        <v>296</v>
      </c>
      <c r="B3" s="82"/>
      <c r="H3" s="94" t="s">
        <v>10</v>
      </c>
      <c r="I3" s="92" t="s">
        <v>83</v>
      </c>
    </row>
    <row r="4" spans="1:9">
      <c r="A4" s="35" t="s">
        <v>297</v>
      </c>
      <c r="B4" s="83">
        <v>5000</v>
      </c>
    </row>
    <row r="5" spans="1:9">
      <c r="A5" s="35" t="s">
        <v>298</v>
      </c>
      <c r="B5" s="38">
        <v>0.08</v>
      </c>
    </row>
    <row r="6" spans="1:9">
      <c r="A6" s="35" t="s">
        <v>299</v>
      </c>
      <c r="B6" s="84">
        <v>5</v>
      </c>
    </row>
    <row r="7" spans="1:9">
      <c r="A7" s="35" t="s">
        <v>300</v>
      </c>
      <c r="B7" s="85">
        <f>-PMT(B5,B6,B4)</f>
        <v>1252.282272834183</v>
      </c>
    </row>
    <row r="9" spans="1:9">
      <c r="A9" s="82" t="s">
        <v>301</v>
      </c>
      <c r="B9" s="86"/>
      <c r="C9" s="86"/>
      <c r="D9" s="86"/>
      <c r="E9" s="86"/>
    </row>
    <row r="10" spans="1:9" ht="29.1">
      <c r="A10" s="68" t="s">
        <v>302</v>
      </c>
      <c r="B10" s="68" t="s">
        <v>303</v>
      </c>
      <c r="C10" s="68" t="s">
        <v>304</v>
      </c>
      <c r="D10" s="68" t="s">
        <v>305</v>
      </c>
      <c r="E10" s="68" t="s">
        <v>306</v>
      </c>
    </row>
    <row r="11" spans="1:9">
      <c r="A11" s="35">
        <v>1</v>
      </c>
      <c r="B11" s="87">
        <f>B4</f>
        <v>5000</v>
      </c>
      <c r="C11" s="87">
        <f>B11*$B$5</f>
        <v>400</v>
      </c>
      <c r="D11" s="88">
        <f>$B$7-C11</f>
        <v>852.282272834183</v>
      </c>
      <c r="E11" s="88">
        <f>B11-D11</f>
        <v>4147.7177271658165</v>
      </c>
    </row>
    <row r="12" spans="1:9">
      <c r="A12" s="35">
        <v>2</v>
      </c>
      <c r="B12" s="88">
        <f>E11</f>
        <v>4147.7177271658165</v>
      </c>
      <c r="C12" s="87">
        <f t="shared" ref="C12:C15" si="0">B12*$B$5</f>
        <v>331.81741817326531</v>
      </c>
      <c r="D12" s="88">
        <f t="shared" ref="D12:D15" si="1">$B$7-C12</f>
        <v>920.46485466091769</v>
      </c>
      <c r="E12" s="88">
        <f t="shared" ref="E12:E15" si="2">B12-D12</f>
        <v>3227.2528725048987</v>
      </c>
    </row>
    <row r="13" spans="1:9">
      <c r="A13" s="35">
        <v>3</v>
      </c>
      <c r="B13" s="88">
        <f t="shared" ref="B13:B15" si="3">E12</f>
        <v>3227.2528725048987</v>
      </c>
      <c r="C13" s="87">
        <f t="shared" si="0"/>
        <v>258.18022980039188</v>
      </c>
      <c r="D13" s="88">
        <f t="shared" si="1"/>
        <v>994.10204303379112</v>
      </c>
      <c r="E13" s="88">
        <f t="shared" si="2"/>
        <v>2233.1508294711075</v>
      </c>
    </row>
    <row r="14" spans="1:9">
      <c r="A14" s="35">
        <v>4</v>
      </c>
      <c r="B14" s="88">
        <f t="shared" si="3"/>
        <v>2233.1508294711075</v>
      </c>
      <c r="C14" s="87">
        <f t="shared" si="0"/>
        <v>178.6520663576886</v>
      </c>
      <c r="D14" s="88">
        <f t="shared" si="1"/>
        <v>1073.6302064764943</v>
      </c>
      <c r="E14" s="88">
        <f t="shared" si="2"/>
        <v>1159.5206229946132</v>
      </c>
    </row>
    <row r="15" spans="1:9">
      <c r="A15" s="35">
        <v>5</v>
      </c>
      <c r="B15" s="88">
        <f t="shared" si="3"/>
        <v>1159.5206229946132</v>
      </c>
      <c r="C15" s="87">
        <f t="shared" si="0"/>
        <v>92.76164983956906</v>
      </c>
      <c r="D15" s="88">
        <f t="shared" si="1"/>
        <v>1159.5206229946139</v>
      </c>
      <c r="E15" s="88">
        <f t="shared" si="2"/>
        <v>0</v>
      </c>
    </row>
    <row r="18" spans="1:3">
      <c r="A18" s="82" t="s">
        <v>307</v>
      </c>
      <c r="B18" s="82"/>
    </row>
    <row r="19" spans="1:3" ht="29.1">
      <c r="A19" s="37" t="s">
        <v>308</v>
      </c>
      <c r="B19" s="85">
        <f>'1-Input Data'!B20/'1-Input Data'!B49</f>
        <v>9111.21052631579</v>
      </c>
    </row>
    <row r="20" spans="1:3">
      <c r="A20" s="35" t="s">
        <v>309</v>
      </c>
      <c r="B20" s="88">
        <f>B7</f>
        <v>1252.282272834183</v>
      </c>
    </row>
    <row r="21" spans="1:3">
      <c r="A21" s="35" t="s">
        <v>310</v>
      </c>
      <c r="B21" s="88">
        <f>B19+B20</f>
        <v>10363.492799149974</v>
      </c>
      <c r="C21" s="28" t="s">
        <v>311</v>
      </c>
    </row>
    <row r="22" spans="1:3">
      <c r="A22" s="35" t="s">
        <v>312</v>
      </c>
      <c r="B22" s="35">
        <f>'1-Input Data'!B20</f>
        <v>25966.950000000004</v>
      </c>
    </row>
    <row r="23" spans="1:3">
      <c r="A23" s="35" t="s">
        <v>313</v>
      </c>
      <c r="B23" s="88">
        <f>B22/B21</f>
        <v>2.5056176043399043</v>
      </c>
    </row>
    <row r="24" spans="1:3">
      <c r="A24" s="35" t="s">
        <v>314</v>
      </c>
      <c r="B24" s="84">
        <v>1.5</v>
      </c>
    </row>
    <row r="25" spans="1:3">
      <c r="A25" s="35" t="s">
        <v>315</v>
      </c>
      <c r="B25" s="81" t="s">
        <v>316</v>
      </c>
    </row>
    <row r="26" spans="1:3" ht="32.450000000000003" customHeight="1">
      <c r="A26" s="144" t="s">
        <v>317</v>
      </c>
      <c r="B26" s="144"/>
    </row>
    <row r="29" spans="1:3">
      <c r="A29" s="82" t="s">
        <v>200</v>
      </c>
      <c r="B29" s="86"/>
    </row>
    <row r="30" spans="1:3">
      <c r="A30" s="35" t="s">
        <v>314</v>
      </c>
      <c r="B30" s="84">
        <v>1.5</v>
      </c>
    </row>
    <row r="31" spans="1:3">
      <c r="A31" s="35" t="s">
        <v>318</v>
      </c>
      <c r="B31" s="85">
        <f>B22/B30</f>
        <v>17311.300000000003</v>
      </c>
    </row>
    <row r="32" spans="1:3" ht="29.1">
      <c r="A32" s="37" t="s">
        <v>308</v>
      </c>
      <c r="B32" s="85">
        <f>B19</f>
        <v>9111.21052631579</v>
      </c>
    </row>
    <row r="33" spans="1:2">
      <c r="A33" s="35" t="s">
        <v>319</v>
      </c>
      <c r="B33" s="85">
        <f>B31-B32</f>
        <v>8200.0894736842129</v>
      </c>
    </row>
    <row r="34" spans="1:2" ht="29.1">
      <c r="A34" s="89" t="s">
        <v>320</v>
      </c>
      <c r="B34" s="85">
        <f>B33*(1-(1+B5)^-B6)/B5</f>
        <v>32740.579546517325</v>
      </c>
    </row>
    <row r="36" spans="1:2">
      <c r="A36" s="79" t="s">
        <v>321</v>
      </c>
      <c r="B36" s="80"/>
    </row>
    <row r="37" spans="1:2">
      <c r="A37" s="95" t="s">
        <v>322</v>
      </c>
      <c r="B37" s="76">
        <f>B4</f>
        <v>5000</v>
      </c>
    </row>
    <row r="38" spans="1:2">
      <c r="A38" s="95" t="s">
        <v>323</v>
      </c>
      <c r="B38" s="77">
        <f>B34</f>
        <v>32740.579546517325</v>
      </c>
    </row>
    <row r="39" spans="1:2">
      <c r="A39" s="78" t="s">
        <v>324</v>
      </c>
      <c r="B39" s="76">
        <f>MIN(B37:B38)</f>
        <v>5000</v>
      </c>
    </row>
    <row r="40" spans="1:2">
      <c r="A40" s="78" t="s">
        <v>325</v>
      </c>
      <c r="B40" s="81" t="str">
        <f>IF(B39=B4,"PASS")</f>
        <v>PASS</v>
      </c>
    </row>
  </sheetData>
  <mergeCells count="1">
    <mergeCell ref="A26:B26"/>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2925-3A80-46CC-94B0-125C455501ED}">
  <dimension ref="A1:G10"/>
  <sheetViews>
    <sheetView workbookViewId="0">
      <selection activeCell="D10" sqref="D10"/>
    </sheetView>
  </sheetViews>
  <sheetFormatPr defaultColWidth="8.5703125" defaultRowHeight="14.45"/>
  <cols>
    <col min="1" max="1" width="27" style="47" customWidth="1"/>
    <col min="2" max="2" width="28.5703125" style="47" customWidth="1"/>
    <col min="3" max="3" width="15.140625" style="47" customWidth="1"/>
    <col min="4" max="4" width="11.140625" style="47" customWidth="1"/>
    <col min="5" max="6" width="8.5703125" style="47"/>
    <col min="7" max="7" width="36" style="47" bestFit="1" customWidth="1"/>
    <col min="8" max="16384" width="8.5703125" style="47"/>
  </cols>
  <sheetData>
    <row r="1" spans="1:7">
      <c r="A1" s="109" t="s">
        <v>326</v>
      </c>
      <c r="F1" s="69" t="s">
        <v>2</v>
      </c>
      <c r="G1" s="70" t="s">
        <v>80</v>
      </c>
    </row>
    <row r="2" spans="1:7">
      <c r="F2" s="71" t="s">
        <v>4</v>
      </c>
      <c r="G2" s="98" t="s">
        <v>81</v>
      </c>
    </row>
    <row r="3" spans="1:7">
      <c r="A3" s="110" t="s">
        <v>327</v>
      </c>
      <c r="B3" s="110" t="s">
        <v>328</v>
      </c>
      <c r="C3" s="110" t="s">
        <v>329</v>
      </c>
      <c r="D3" s="110" t="s">
        <v>91</v>
      </c>
      <c r="F3" s="72" t="s">
        <v>10</v>
      </c>
      <c r="G3" s="70" t="s">
        <v>83</v>
      </c>
    </row>
    <row r="4" spans="1:7">
      <c r="A4" s="89" t="s">
        <v>330</v>
      </c>
      <c r="B4" s="111">
        <v>-0.1</v>
      </c>
      <c r="C4" s="106">
        <f>'2-Financial Analysis'!E7</f>
        <v>5.4359655608585349E-2</v>
      </c>
      <c r="D4" s="50" t="str">
        <f>IF(C4&gt;B4,"PASS","FAIL")</f>
        <v>PASS</v>
      </c>
    </row>
    <row r="5" spans="1:7">
      <c r="A5" s="89" t="s">
        <v>331</v>
      </c>
      <c r="B5" s="111">
        <v>0.15</v>
      </c>
      <c r="C5" s="97">
        <f>'2-Financial Analysis'!E14</f>
        <v>9.2147542230810189E-2</v>
      </c>
      <c r="D5" s="50" t="str">
        <f>IF(C5&lt;=B5,"PASS","FAIL")</f>
        <v>PASS</v>
      </c>
    </row>
    <row r="6" spans="1:7" ht="29.1">
      <c r="A6" s="89" t="s">
        <v>332</v>
      </c>
      <c r="B6" s="111">
        <v>-0.35</v>
      </c>
      <c r="C6" s="107">
        <f>'2-Financial Analysis'!E19</f>
        <v>-0.25392670157068059</v>
      </c>
      <c r="D6" s="50" t="str">
        <f>IF(C6&gt;B6,"PASS","FAIL")</f>
        <v>PASS</v>
      </c>
    </row>
    <row r="7" spans="1:7">
      <c r="A7" s="89" t="s">
        <v>333</v>
      </c>
      <c r="B7" s="89" t="s">
        <v>334</v>
      </c>
      <c r="C7" s="50"/>
      <c r="D7" s="50" t="str">
        <f>IF(COUNTIF('4-Covenants'!E11:E12,"AMBER")+COUNTIF('4-Covenants'!E11:E12,"RED")&gt;0,"WATCH LIST","PASS")</f>
        <v>PASS</v>
      </c>
    </row>
    <row r="8" spans="1:7">
      <c r="A8" s="89" t="s">
        <v>335</v>
      </c>
      <c r="B8" s="112" t="s">
        <v>336</v>
      </c>
      <c r="C8" s="51" t="s">
        <v>337</v>
      </c>
      <c r="D8" s="51" t="s">
        <v>316</v>
      </c>
    </row>
    <row r="9" spans="1:7" ht="29.1">
      <c r="A9" s="89" t="s">
        <v>338</v>
      </c>
      <c r="B9" s="89" t="s">
        <v>339</v>
      </c>
      <c r="C9" s="51" t="s">
        <v>337</v>
      </c>
      <c r="D9" s="51" t="s">
        <v>316</v>
      </c>
    </row>
    <row r="10" spans="1:7">
      <c r="C10" s="105" t="s">
        <v>238</v>
      </c>
      <c r="D10" s="108" t="str">
        <f>IF(COUNTIF(D4:D9,"NOT PASS")&gt;0,"NOT PASS","PASS")</f>
        <v>PASS</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E58D-005D-432A-8C87-803B652F598F}">
  <dimension ref="A1:H29"/>
  <sheetViews>
    <sheetView zoomScale="115" zoomScaleNormal="115" workbookViewId="0">
      <selection activeCell="G12" sqref="G12"/>
    </sheetView>
  </sheetViews>
  <sheetFormatPr defaultRowHeight="14.45"/>
  <cols>
    <col min="1" max="1" width="31.85546875" customWidth="1"/>
    <col min="2" max="2" width="26.42578125" customWidth="1"/>
    <col min="3" max="3" width="18.42578125" customWidth="1"/>
    <col min="4" max="4" width="34.5703125" customWidth="1"/>
    <col min="5" max="5" width="37.42578125" customWidth="1"/>
    <col min="7" max="7" width="34.5703125" customWidth="1"/>
    <col min="8" max="8" width="37.42578125" customWidth="1"/>
    <col min="10" max="10" width="34.5703125" customWidth="1"/>
    <col min="11" max="11" width="37.42578125" customWidth="1"/>
  </cols>
  <sheetData>
    <row r="1" spans="1:8" ht="18.600000000000001">
      <c r="A1" s="1" t="s">
        <v>340</v>
      </c>
      <c r="F1" s="69" t="s">
        <v>2</v>
      </c>
      <c r="G1" s="70" t="s">
        <v>80</v>
      </c>
      <c r="H1" s="9"/>
    </row>
    <row r="2" spans="1:8" ht="18.600000000000001">
      <c r="A2" s="1"/>
      <c r="F2" s="71" t="s">
        <v>4</v>
      </c>
      <c r="G2" s="98" t="s">
        <v>81</v>
      </c>
      <c r="H2" s="99"/>
    </row>
    <row r="3" spans="1:8">
      <c r="F3" s="72" t="s">
        <v>10</v>
      </c>
      <c r="G3" s="70" t="s">
        <v>83</v>
      </c>
      <c r="H3" s="9"/>
    </row>
    <row r="4" spans="1:8">
      <c r="A4" s="30" t="s">
        <v>341</v>
      </c>
      <c r="B4" s="49" t="str">
        <f>IF(COUNTIF(C20:C22,"Low Risk")+COUNTIF(C20:C22,"Moderate Risk")&gt;=2,"Approve","Reject")</f>
        <v>Approve</v>
      </c>
    </row>
    <row r="6" spans="1:8">
      <c r="A6" s="30" t="s">
        <v>174</v>
      </c>
      <c r="B6" s="30" t="s">
        <v>178</v>
      </c>
      <c r="C6" s="30" t="s">
        <v>216</v>
      </c>
      <c r="D6" s="30" t="s">
        <v>342</v>
      </c>
      <c r="E6" s="30" t="s">
        <v>114</v>
      </c>
    </row>
    <row r="7" spans="1:8">
      <c r="A7" s="9" t="s">
        <v>343</v>
      </c>
      <c r="B7" s="9" t="s">
        <v>344</v>
      </c>
      <c r="C7" s="100" t="s">
        <v>345</v>
      </c>
      <c r="D7" s="9" t="s">
        <v>346</v>
      </c>
      <c r="E7" s="9" t="s">
        <v>347</v>
      </c>
    </row>
    <row r="8" spans="1:8">
      <c r="A8" s="9" t="s">
        <v>348</v>
      </c>
      <c r="B8" s="9" t="s">
        <v>344</v>
      </c>
      <c r="C8" s="100">
        <v>100000</v>
      </c>
      <c r="D8" s="9" t="s">
        <v>346</v>
      </c>
      <c r="E8" s="9" t="s">
        <v>349</v>
      </c>
    </row>
    <row r="9" spans="1:8">
      <c r="A9" s="9" t="s">
        <v>350</v>
      </c>
      <c r="B9" s="9" t="s">
        <v>344</v>
      </c>
      <c r="C9" s="100">
        <v>250</v>
      </c>
      <c r="D9" s="9" t="s">
        <v>346</v>
      </c>
      <c r="E9" s="9" t="s">
        <v>351</v>
      </c>
    </row>
    <row r="10" spans="1:8">
      <c r="A10" s="9" t="s">
        <v>352</v>
      </c>
      <c r="B10" s="9" t="s">
        <v>353</v>
      </c>
      <c r="C10" s="101">
        <v>400</v>
      </c>
      <c r="D10" s="9" t="s">
        <v>354</v>
      </c>
      <c r="E10" s="9" t="s">
        <v>355</v>
      </c>
    </row>
    <row r="11" spans="1:8">
      <c r="A11" s="9" t="s">
        <v>356</v>
      </c>
      <c r="B11" s="9" t="s">
        <v>344</v>
      </c>
      <c r="C11" s="9">
        <v>5000</v>
      </c>
      <c r="D11" s="9" t="s">
        <v>346</v>
      </c>
      <c r="E11" s="9" t="s">
        <v>357</v>
      </c>
    </row>
    <row r="12" spans="1:8" ht="57.95">
      <c r="A12" s="50" t="s">
        <v>358</v>
      </c>
      <c r="B12" s="50" t="s">
        <v>359</v>
      </c>
      <c r="C12" s="50">
        <f>C11/C8</f>
        <v>0.05</v>
      </c>
      <c r="D12" s="50" t="s">
        <v>360</v>
      </c>
      <c r="E12" s="133" t="s">
        <v>361</v>
      </c>
    </row>
    <row r="13" spans="1:8">
      <c r="A13" s="9" t="s">
        <v>362</v>
      </c>
      <c r="B13" s="9" t="s">
        <v>344</v>
      </c>
      <c r="C13" s="101">
        <v>2000</v>
      </c>
      <c r="D13" s="9" t="s">
        <v>346</v>
      </c>
      <c r="E13" s="9" t="s">
        <v>363</v>
      </c>
    </row>
    <row r="14" spans="1:8">
      <c r="A14" s="9" t="s">
        <v>364</v>
      </c>
      <c r="B14" s="9" t="s">
        <v>365</v>
      </c>
      <c r="C14" s="9">
        <f>C13/C8</f>
        <v>0.02</v>
      </c>
      <c r="D14" s="9" t="s">
        <v>366</v>
      </c>
      <c r="E14" s="9" t="s">
        <v>367</v>
      </c>
    </row>
    <row r="15" spans="1:8">
      <c r="A15" s="9" t="s">
        <v>368</v>
      </c>
      <c r="B15" s="9" t="s">
        <v>369</v>
      </c>
      <c r="C15" s="9">
        <f>C8+C11</f>
        <v>105000</v>
      </c>
      <c r="D15" s="9" t="s">
        <v>346</v>
      </c>
      <c r="E15" s="9" t="s">
        <v>370</v>
      </c>
    </row>
    <row r="16" spans="1:8">
      <c r="A16" s="9" t="s">
        <v>371</v>
      </c>
      <c r="B16" s="9" t="s">
        <v>372</v>
      </c>
      <c r="C16" s="9">
        <f>C11/C15</f>
        <v>4.7619047619047616E-2</v>
      </c>
      <c r="D16" s="9" t="s">
        <v>373</v>
      </c>
      <c r="E16" s="9" t="s">
        <v>374</v>
      </c>
    </row>
    <row r="19" spans="1:8">
      <c r="A19" s="30" t="s">
        <v>375</v>
      </c>
      <c r="B19" s="30" t="s">
        <v>216</v>
      </c>
      <c r="C19" s="30" t="s">
        <v>285</v>
      </c>
    </row>
    <row r="20" spans="1:8">
      <c r="A20" s="49" t="s">
        <v>376</v>
      </c>
      <c r="B20" s="9">
        <f>C14</f>
        <v>0.02</v>
      </c>
      <c r="C20" s="9" t="str">
        <f>IF(B20&lt;=2%,"Low Risk",IF(B20&lt;5%,"Moderate Risk","High Risk"))</f>
        <v>Low Risk</v>
      </c>
    </row>
    <row r="21" spans="1:8">
      <c r="A21" s="49" t="s">
        <v>377</v>
      </c>
      <c r="B21" s="102">
        <f>C12</f>
        <v>0.05</v>
      </c>
      <c r="C21" s="9" t="str">
        <f>IF(B21&lt;5%,"Low Risk",IF(B21&lt;=10%,"Moderate Risk","High Risk"))</f>
        <v>Moderate Risk</v>
      </c>
    </row>
    <row r="22" spans="1:8">
      <c r="A22" s="49" t="s">
        <v>378</v>
      </c>
      <c r="B22" s="102">
        <f>C16</f>
        <v>4.7619047619047616E-2</v>
      </c>
      <c r="C22" s="9" t="str">
        <f>IF(B22&lt;5%,"Low Risk",IF(B22&lt;=10%,"Moderate Risk","High Risk"))</f>
        <v>Low Risk</v>
      </c>
    </row>
    <row r="25" spans="1:8">
      <c r="A25" s="30" t="s">
        <v>379</v>
      </c>
    </row>
    <row r="26" spans="1:8">
      <c r="A26" s="30" t="s">
        <v>376</v>
      </c>
      <c r="B26" s="30" t="s">
        <v>380</v>
      </c>
      <c r="D26" s="30" t="s">
        <v>377</v>
      </c>
      <c r="E26" s="30" t="s">
        <v>114</v>
      </c>
      <c r="G26" s="30" t="s">
        <v>381</v>
      </c>
      <c r="H26" s="30" t="s">
        <v>114</v>
      </c>
    </row>
    <row r="27" spans="1:8">
      <c r="A27" s="49" t="s">
        <v>382</v>
      </c>
      <c r="B27" s="49" t="s">
        <v>166</v>
      </c>
      <c r="D27" s="49" t="s">
        <v>383</v>
      </c>
      <c r="E27" s="49" t="s">
        <v>166</v>
      </c>
      <c r="G27" s="49" t="s">
        <v>384</v>
      </c>
      <c r="H27" s="49" t="s">
        <v>166</v>
      </c>
    </row>
    <row r="28" spans="1:8">
      <c r="A28" s="49" t="s">
        <v>385</v>
      </c>
      <c r="B28" s="49" t="s">
        <v>386</v>
      </c>
      <c r="D28" s="49" t="s">
        <v>387</v>
      </c>
      <c r="E28" s="49" t="s">
        <v>386</v>
      </c>
      <c r="G28" s="49" t="s">
        <v>388</v>
      </c>
      <c r="H28" s="49" t="s">
        <v>386</v>
      </c>
    </row>
    <row r="29" spans="1:8">
      <c r="A29" s="49" t="s">
        <v>389</v>
      </c>
      <c r="B29" s="49" t="s">
        <v>172</v>
      </c>
      <c r="D29" s="49" t="s">
        <v>390</v>
      </c>
      <c r="E29" s="49" t="s">
        <v>172</v>
      </c>
      <c r="G29" s="49" t="s">
        <v>391</v>
      </c>
      <c r="H29" s="49" t="s">
        <v>172</v>
      </c>
    </row>
  </sheetData>
  <conditionalFormatting sqref="B4">
    <cfRule type="containsText" dxfId="34" priority="4" operator="containsText" text="high">
      <formula>NOT(ISERROR(SEARCH("high",B4)))</formula>
    </cfRule>
    <cfRule type="containsText" dxfId="33" priority="5" operator="containsText" text="moderate">
      <formula>NOT(ISERROR(SEARCH("moderate",B4)))</formula>
    </cfRule>
    <cfRule type="containsText" dxfId="32" priority="6" operator="containsText" text="high">
      <formula>NOT(ISERROR(SEARCH("high",B4)))</formula>
    </cfRule>
    <cfRule type="containsText" dxfId="31" priority="7" operator="containsText" text="elevated">
      <formula>NOT(ISERROR(SEARCH("elevated",B4)))</formula>
    </cfRule>
    <cfRule type="containsText" dxfId="30" priority="8" operator="containsText" text="moderate">
      <formula>NOT(ISERROR(SEARCH("moderate",B4)))</formula>
    </cfRule>
    <cfRule type="containsText" dxfId="29" priority="9" operator="containsText" text="low">
      <formula>NOT(ISERROR(SEARCH("low",B4)))</formula>
    </cfRule>
    <cfRule type="containsText" dxfId="28" priority="10" operator="containsText" text="Reject">
      <formula>NOT(ISERROR(SEARCH("Reject",B4)))</formula>
    </cfRule>
    <cfRule type="containsText" dxfId="27" priority="11" operator="containsText" text="Approve">
      <formula>NOT(ISERROR(SEARCH("Approve",B4)))</formula>
    </cfRule>
  </conditionalFormatting>
  <conditionalFormatting sqref="C20:C22">
    <cfRule type="containsText" dxfId="26" priority="1" operator="containsText" text="high">
      <formula>NOT(ISERROR(SEARCH("high",C20)))</formula>
    </cfRule>
    <cfRule type="containsText" dxfId="25" priority="2" operator="containsText" text="moderate">
      <formula>NOT(ISERROR(SEARCH("moderate",C20)))</formula>
    </cfRule>
    <cfRule type="containsText" dxfId="24" priority="3" operator="containsText" text="low">
      <formula>NOT(ISERROR(SEARCH("low",C20)))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E915-BEFD-4C6A-B9FA-CDBBAE1496A9}">
  <dimension ref="A1:B28"/>
  <sheetViews>
    <sheetView zoomScaleNormal="100" workbookViewId="0">
      <selection activeCell="E4" sqref="E4"/>
    </sheetView>
  </sheetViews>
  <sheetFormatPr defaultColWidth="8.5703125" defaultRowHeight="14.45"/>
  <cols>
    <col min="1" max="1" width="112.85546875" style="47" customWidth="1"/>
    <col min="2" max="2" width="17.42578125" style="47" bestFit="1" customWidth="1"/>
    <col min="3" max="16384" width="8.5703125" style="47"/>
  </cols>
  <sheetData>
    <row r="1" spans="1:2" ht="18.600000000000001">
      <c r="A1" s="1" t="s">
        <v>392</v>
      </c>
    </row>
    <row r="3" spans="1:2">
      <c r="A3" s="30" t="s">
        <v>79</v>
      </c>
      <c r="B3" s="30" t="s">
        <v>91</v>
      </c>
    </row>
    <row r="4" spans="1:2" ht="111.95" customHeight="1">
      <c r="A4" s="52" t="s">
        <v>393</v>
      </c>
      <c r="B4" s="49" t="str">
        <f>'2-Financial Analysis'!B3</f>
        <v>Approve</v>
      </c>
    </row>
    <row r="5" spans="1:2">
      <c r="A5" s="48"/>
      <c r="B5" s="73"/>
    </row>
    <row r="7" spans="1:2">
      <c r="A7" s="30" t="s">
        <v>159</v>
      </c>
      <c r="B7" s="30" t="s">
        <v>91</v>
      </c>
    </row>
    <row r="8" spans="1:2" ht="56.1" customHeight="1">
      <c r="A8" s="52" t="s">
        <v>394</v>
      </c>
      <c r="B8" s="49" t="str">
        <f>'3-Risk Scoring'!B10</f>
        <v>Low Risk</v>
      </c>
    </row>
    <row r="9" spans="1:2">
      <c r="A9" s="48"/>
      <c r="B9" s="73"/>
    </row>
    <row r="11" spans="1:2">
      <c r="A11" s="30" t="s">
        <v>230</v>
      </c>
      <c r="B11" s="104" t="s">
        <v>91</v>
      </c>
    </row>
    <row r="12" spans="1:2" ht="41.1" customHeight="1">
      <c r="A12" s="103" t="s">
        <v>395</v>
      </c>
      <c r="B12" s="81" t="str">
        <f>'4-Covenants'!E14</f>
        <v>PASS</v>
      </c>
    </row>
    <row r="15" spans="1:2">
      <c r="A15" s="30" t="s">
        <v>396</v>
      </c>
      <c r="B15" s="30" t="s">
        <v>91</v>
      </c>
    </row>
    <row r="16" spans="1:2" ht="43.5">
      <c r="A16" s="52" t="s">
        <v>397</v>
      </c>
      <c r="B16" s="49" t="str">
        <f>'5-Collateral Assessment'!B12</f>
        <v>High collateral risk</v>
      </c>
    </row>
    <row r="17" spans="1:2">
      <c r="A17" s="48"/>
      <c r="B17" s="73"/>
    </row>
    <row r="19" spans="1:2">
      <c r="A19" s="30" t="s">
        <v>295</v>
      </c>
      <c r="B19" s="30" t="s">
        <v>91</v>
      </c>
    </row>
    <row r="20" spans="1:2" ht="72.599999999999994">
      <c r="A20" s="52" t="s">
        <v>398</v>
      </c>
      <c r="B20" s="81" t="str">
        <f>'6-Limit Setting'!B40</f>
        <v>PASS</v>
      </c>
    </row>
    <row r="21" spans="1:2">
      <c r="A21" s="48"/>
    </row>
    <row r="23" spans="1:2">
      <c r="A23" s="30" t="s">
        <v>399</v>
      </c>
      <c r="B23" s="30" t="s">
        <v>91</v>
      </c>
    </row>
    <row r="24" spans="1:2" ht="57.95">
      <c r="A24" s="52" t="s">
        <v>400</v>
      </c>
      <c r="B24" s="81" t="str">
        <f>'7-Continuous Monitoring'!D10</f>
        <v>PASS</v>
      </c>
    </row>
    <row r="25" spans="1:2">
      <c r="A25" s="48"/>
      <c r="B25"/>
    </row>
    <row r="27" spans="1:2">
      <c r="A27" s="30" t="s">
        <v>340</v>
      </c>
      <c r="B27" s="30" t="s">
        <v>91</v>
      </c>
    </row>
    <row r="28" spans="1:2" ht="43.5">
      <c r="A28" s="52" t="s">
        <v>401</v>
      </c>
      <c r="B28" s="49" t="str">
        <f>'8-Portfolio Monitoring'!B4</f>
        <v>Approve</v>
      </c>
    </row>
  </sheetData>
  <conditionalFormatting sqref="B4:B5">
    <cfRule type="containsText" dxfId="23" priority="23" operator="containsText" text="Reject">
      <formula>NOT(ISERROR(SEARCH("Reject",B4)))</formula>
    </cfRule>
    <cfRule type="containsText" dxfId="22" priority="24" operator="containsText" text="Approve">
      <formula>NOT(ISERROR(SEARCH("Approve",B4)))</formula>
    </cfRule>
  </conditionalFormatting>
  <conditionalFormatting sqref="B8:B9">
    <cfRule type="containsText" dxfId="21" priority="17" operator="containsText" text="high">
      <formula>NOT(ISERROR(SEARCH("high",B8)))</formula>
    </cfRule>
    <cfRule type="containsText" dxfId="20" priority="18" operator="containsText" text="elevated">
      <formula>NOT(ISERROR(SEARCH("elevated",B8)))</formula>
    </cfRule>
    <cfRule type="containsText" dxfId="19" priority="19" operator="containsText" text="moderate">
      <formula>NOT(ISERROR(SEARCH("moderate",B8)))</formula>
    </cfRule>
    <cfRule type="containsText" dxfId="18" priority="20" operator="containsText" text="low">
      <formula>NOT(ISERROR(SEARCH("low",B8)))</formula>
    </cfRule>
    <cfRule type="containsText" dxfId="17" priority="21" operator="containsText" text="Reject">
      <formula>NOT(ISERROR(SEARCH("Reject",B8)))</formula>
    </cfRule>
    <cfRule type="containsText" dxfId="16" priority="22" operator="containsText" text="Approve">
      <formula>NOT(ISERROR(SEARCH("Approve",B8)))</formula>
    </cfRule>
  </conditionalFormatting>
  <conditionalFormatting sqref="B16:B17">
    <cfRule type="containsText" dxfId="15" priority="9" operator="containsText" text="high">
      <formula>NOT(ISERROR(SEARCH("high",B16)))</formula>
    </cfRule>
    <cfRule type="containsText" dxfId="14" priority="10" operator="containsText" text="moderate">
      <formula>NOT(ISERROR(SEARCH("moderate",B16)))</formula>
    </cfRule>
    <cfRule type="containsText" dxfId="13" priority="11" operator="containsText" text="high">
      <formula>NOT(ISERROR(SEARCH("high",B16)))</formula>
    </cfRule>
    <cfRule type="containsText" dxfId="12" priority="12" operator="containsText" text="elevated">
      <formula>NOT(ISERROR(SEARCH("elevated",B16)))</formula>
    </cfRule>
    <cfRule type="containsText" dxfId="11" priority="13" operator="containsText" text="moderate">
      <formula>NOT(ISERROR(SEARCH("moderate",B16)))</formula>
    </cfRule>
    <cfRule type="containsText" dxfId="10" priority="14" operator="containsText" text="low">
      <formula>NOT(ISERROR(SEARCH("low",B16)))</formula>
    </cfRule>
    <cfRule type="containsText" dxfId="9" priority="15" operator="containsText" text="Reject">
      <formula>NOT(ISERROR(SEARCH("Reject",B16)))</formula>
    </cfRule>
    <cfRule type="containsText" dxfId="8" priority="16" operator="containsText" text="Approve">
      <formula>NOT(ISERROR(SEARCH("Approve",B16)))</formula>
    </cfRule>
  </conditionalFormatting>
  <conditionalFormatting sqref="B28">
    <cfRule type="containsText" dxfId="7" priority="1" operator="containsText" text="high">
      <formula>NOT(ISERROR(SEARCH("high",B28)))</formula>
    </cfRule>
    <cfRule type="containsText" dxfId="6" priority="2" operator="containsText" text="moderate">
      <formula>NOT(ISERROR(SEARCH("moderate",B28)))</formula>
    </cfRule>
    <cfRule type="containsText" dxfId="5" priority="3" operator="containsText" text="high">
      <formula>NOT(ISERROR(SEARCH("high",B28)))</formula>
    </cfRule>
    <cfRule type="containsText" dxfId="4" priority="4" operator="containsText" text="elevated">
      <formula>NOT(ISERROR(SEARCH("elevated",B28)))</formula>
    </cfRule>
    <cfRule type="containsText" dxfId="3" priority="5" operator="containsText" text="moderate">
      <formula>NOT(ISERROR(SEARCH("moderate",B28)))</formula>
    </cfRule>
    <cfRule type="containsText" dxfId="2" priority="6" operator="containsText" text="low">
      <formula>NOT(ISERROR(SEARCH("low",B28)))</formula>
    </cfRule>
    <cfRule type="containsText" dxfId="1" priority="7" operator="containsText" text="Reject">
      <formula>NOT(ISERROR(SEARCH("Reject",B28)))</formula>
    </cfRule>
    <cfRule type="containsText" dxfId="0" priority="8" operator="containsText" text="Approve">
      <formula>NOT(ISERROR(SEARCH("Approve",B28)))</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8CECA-0D44-4360-A12D-A1A65E07A19E}">
  <dimension ref="C3:C6"/>
  <sheetViews>
    <sheetView workbookViewId="0">
      <selection activeCell="C3" sqref="C3"/>
    </sheetView>
  </sheetViews>
  <sheetFormatPr defaultRowHeight="14.45"/>
  <cols>
    <col min="3" max="3" width="55.140625" bestFit="1" customWidth="1"/>
  </cols>
  <sheetData>
    <row r="3" spans="3:3">
      <c r="C3" t="s">
        <v>402</v>
      </c>
    </row>
    <row r="4" spans="3:3">
      <c r="C4" t="s">
        <v>403</v>
      </c>
    </row>
    <row r="5" spans="3:3">
      <c r="C5" t="s">
        <v>404</v>
      </c>
    </row>
    <row r="6" spans="3:3">
      <c r="C6" t="s">
        <v>405</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Halder, Vicky</dc:creator>
  <cp:keywords/>
  <dc:description/>
  <cp:lastModifiedBy/>
  <cp:revision/>
  <dcterms:created xsi:type="dcterms:W3CDTF">2026-08-07T04:34:54Z</dcterms:created>
  <dcterms:modified xsi:type="dcterms:W3CDTF">2026-08-17T06:00:50Z</dcterms:modified>
  <cp:category/>
  <cp:contentStatus/>
</cp:coreProperties>
</file>