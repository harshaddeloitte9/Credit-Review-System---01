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harsade_ext_deloitte_com/Documents/Documents/Zoom/"/>
    </mc:Choice>
  </mc:AlternateContent>
  <xr:revisionPtr revIDLastSave="0" documentId="8_{605FE4FE-25B6-43CF-A933-06F07C29C3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-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B59" i="1"/>
  <c r="E56" i="1"/>
  <c r="E55" i="1"/>
  <c r="E54" i="1"/>
  <c r="E53" i="1"/>
  <c r="E52" i="1"/>
  <c r="E51" i="1"/>
  <c r="E50" i="1"/>
  <c r="E49" i="1"/>
  <c r="C56" i="1"/>
  <c r="C55" i="1"/>
  <c r="C54" i="1"/>
  <c r="C53" i="1"/>
  <c r="C52" i="1"/>
  <c r="C51" i="1"/>
  <c r="C50" i="1"/>
  <c r="C49" i="1"/>
  <c r="B73" i="1"/>
  <c r="B72" i="1"/>
  <c r="B71" i="1"/>
  <c r="B70" i="1"/>
  <c r="B69" i="1"/>
  <c r="B66" i="1"/>
  <c r="B65" i="1"/>
  <c r="B64" i="1"/>
  <c r="B63" i="1"/>
  <c r="C34" i="1"/>
  <c r="B34" i="1"/>
  <c r="C30" i="1"/>
  <c r="B30" i="1"/>
  <c r="B19" i="1"/>
  <c r="C18" i="1"/>
  <c r="B18" i="1"/>
  <c r="B17" i="1"/>
  <c r="C16" i="1"/>
  <c r="B16" i="1"/>
  <c r="C14" i="1"/>
  <c r="B14" i="1"/>
  <c r="C12" i="1"/>
  <c r="C20" i="1" s="1"/>
  <c r="B12" i="1"/>
  <c r="C7" i="1"/>
  <c r="C17" i="1"/>
  <c r="B7" i="1"/>
  <c r="C19" i="1" l="1"/>
  <c r="B20" i="1"/>
</calcChain>
</file>

<file path=xl/sharedStrings.xml><?xml version="1.0" encoding="utf-8"?>
<sst xmlns="http://schemas.openxmlformats.org/spreadsheetml/2006/main" count="82" uniqueCount="77">
  <si>
    <t>Area 1 - Extracted &amp; Validated Data: Tata Steel Limited, Standalone (₹ crore)</t>
  </si>
  <si>
    <t>Colour legend</t>
  </si>
  <si>
    <t>Blue text</t>
  </si>
  <si>
    <t>Value extracted from the published results, or a stated assumption.</t>
  </si>
  <si>
    <t>Black text</t>
  </si>
  <si>
    <t>Formula computed on the same sheet.</t>
  </si>
  <si>
    <t>Profit &amp; Loss</t>
  </si>
  <si>
    <t>FY 31.03.2026</t>
  </si>
  <si>
    <t>FY 31.03.2025</t>
  </si>
  <si>
    <t>Reported (validation)</t>
  </si>
  <si>
    <t>Yellow fill</t>
  </si>
  <si>
    <t>Assumption / policy parameter - not disclosed in the results, tune as needed.</t>
  </si>
  <si>
    <t>Revenue from operations</t>
  </si>
  <si>
    <t>Other income</t>
  </si>
  <si>
    <t>Total income</t>
  </si>
  <si>
    <t>Total expenses</t>
  </si>
  <si>
    <t>of which: Finance costs</t>
  </si>
  <si>
    <t>of which: Depreciation &amp; amortisation</t>
  </si>
  <si>
    <t>Interest income and income from current investments (per cash flow)</t>
  </si>
  <si>
    <t>Profit before exceptional items &amp; tax</t>
  </si>
  <si>
    <t>Exceptional items (net)</t>
  </si>
  <si>
    <t>Profit before tax</t>
  </si>
  <si>
    <t>Total tax expense</t>
  </si>
  <si>
    <t>Net profit for the period</t>
  </si>
  <si>
    <t>Net finance charges (Finance costs – Interest income)</t>
  </si>
  <si>
    <t>EBITDA (company definition: PBT + Net Finance Charges + D&amp;A)</t>
  </si>
  <si>
    <t>EBITDA margin (ties to reported operating EBITDA margin)</t>
  </si>
  <si>
    <t>EBITDA (company definition: row PBT + Net Finance Charges)</t>
  </si>
  <si>
    <t>Balance Sheet</t>
  </si>
  <si>
    <t>Property, plant &amp; equipment (net)</t>
  </si>
  <si>
    <t>Total assets</t>
  </si>
  <si>
    <t>Total equity</t>
  </si>
  <si>
    <t>Borrowings - non-current</t>
  </si>
  <si>
    <t>Borrowings - current</t>
  </si>
  <si>
    <t>Lease liabilities - non-current</t>
  </si>
  <si>
    <t>Lease liabilities - current</t>
  </si>
  <si>
    <t>Total debt (borrowings + lease liabilities)</t>
  </si>
  <si>
    <t>Current investments</t>
  </si>
  <si>
    <t>Cash &amp; cash equivalents</t>
  </si>
  <si>
    <t>Other balances with banks</t>
  </si>
  <si>
    <t>Net debt (company definition: row 30 – rows 31–33)</t>
  </si>
  <si>
    <t>Current assets</t>
  </si>
  <si>
    <t>Current liabilities</t>
  </si>
  <si>
    <t>Total liabilities</t>
  </si>
  <si>
    <t>Cash Flow (extracts)</t>
  </si>
  <si>
    <t>Net cash from operating activities</t>
  </si>
  <si>
    <t>Income taxes paid (net of refund)</t>
  </si>
  <si>
    <t>Interest paid</t>
  </si>
  <si>
    <t>Repayment of long-term borrowings</t>
  </si>
  <si>
    <t>Principal payment of lease liabilities</t>
  </si>
  <si>
    <t>Purchase of capital assets (capex)</t>
  </si>
  <si>
    <t>Dividend paid</t>
  </si>
  <si>
    <t>Reported Ratios - Regulation 52(4) disclosures (extracted as-is)</t>
  </si>
  <si>
    <t>Debt service coverage ratio (DSCR)</t>
  </si>
  <si>
    <t>Interest service coverage ratio (ISCR)</t>
  </si>
  <si>
    <t>Current ratio (company definition: CL excl. current maturities)</t>
  </si>
  <si>
    <t>Debt equity ratio (net debt / average equity)</t>
  </si>
  <si>
    <t>Total debts to total assets</t>
  </si>
  <si>
    <t>Operating EBITDA margin</t>
  </si>
  <si>
    <t>Net profit margin</t>
  </si>
  <si>
    <t>Net worth (₹ cr)</t>
  </si>
  <si>
    <t>Derived for Reconciliation</t>
  </si>
  <si>
    <t>Average equity FY26 = (FY26 + FY25 equity) / 2</t>
  </si>
  <si>
    <t>Automated Validation Checks (Area 1 rules)</t>
  </si>
  <si>
    <t>P&amp;L internal consistency: derived PBT-before-exceptional vs reported</t>
  </si>
  <si>
    <t>P&amp;L internal consistency: derived net profit vs reported</t>
  </si>
  <si>
    <t>Balance sheet identity: Assets = Equity + Total liabilities (±1%)</t>
  </si>
  <si>
    <t>Operating cash flow positive in both years</t>
  </si>
  <si>
    <t>Reconciliation Checks - derived values tie to the reported statement figures</t>
  </si>
  <si>
    <t>Computed EBITDA margin = reported operating EBITDA margin (FY26)</t>
  </si>
  <si>
    <t>Computed EBITDA margin = reported operating EBITDA margin (FY25)</t>
  </si>
  <si>
    <t>Computed net profit margin = reported net profit margin (FY26)</t>
  </si>
  <si>
    <t>Computed total debts / total assets = reported 0.25 (FY26)</t>
  </si>
  <si>
    <t>Computed net debt / average equity = reported 0.50 (FY26)</t>
  </si>
  <si>
    <t>FY 31.03.2025 (Calculated)</t>
  </si>
  <si>
    <t>FY 31.03.2025 (Reported)</t>
  </si>
  <si>
    <t>FY 31.03.2026 (Reported)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</si>
</sst>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0" xfId="0" applyFont="1"/>
    <xf numFmtId="10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60" sqref="C60"/>
    </sheetView>
  </sheetViews>
  <sheetFormatPr defaultRowHeight="14.5" x14ac:dyDescent="0.35"/>
  <cols>
    <col min="1" max="1" width="62" customWidth="1"/>
    <col min="2" max="3" width="18" customWidth="1"/>
    <col min="4" max="4" width="24.26953125" customWidth="1"/>
    <col min="5" max="5" width="22" customWidth="1"/>
    <col min="6" max="6" width="15" customWidth="1"/>
    <col min="7" max="7" width="65" customWidth="1"/>
  </cols>
  <sheetData>
    <row r="1" spans="1:7" x14ac:dyDescent="0.35">
      <c r="A1" s="10" t="s">
        <v>0</v>
      </c>
      <c r="B1" s="11"/>
      <c r="C1" s="11"/>
      <c r="D1" s="11"/>
      <c r="E1" s="1"/>
      <c r="F1" s="2" t="s">
        <v>1</v>
      </c>
      <c r="G1" s="3"/>
    </row>
    <row r="2" spans="1:7" x14ac:dyDescent="0.35">
      <c r="A2" s="1"/>
      <c r="B2" s="1"/>
      <c r="C2" s="1"/>
      <c r="D2" s="1"/>
      <c r="E2" s="1"/>
      <c r="F2" s="4" t="s">
        <v>2</v>
      </c>
      <c r="G2" s="3" t="s">
        <v>3</v>
      </c>
    </row>
    <row r="3" spans="1:7" x14ac:dyDescent="0.35">
      <c r="A3" s="1"/>
      <c r="B3" s="1"/>
      <c r="C3" s="1"/>
      <c r="D3" s="1"/>
      <c r="E3" s="1"/>
      <c r="F3" s="5" t="s">
        <v>4</v>
      </c>
      <c r="G3" s="3" t="s">
        <v>5</v>
      </c>
    </row>
    <row r="4" spans="1:7" ht="29" x14ac:dyDescent="0.35">
      <c r="A4" s="2" t="s">
        <v>6</v>
      </c>
      <c r="B4" s="2" t="s">
        <v>7</v>
      </c>
      <c r="C4" s="2" t="s">
        <v>8</v>
      </c>
      <c r="D4" s="2" t="s">
        <v>9</v>
      </c>
      <c r="E4" s="1"/>
      <c r="F4" s="6" t="s">
        <v>10</v>
      </c>
      <c r="G4" s="3" t="s">
        <v>11</v>
      </c>
    </row>
    <row r="5" spans="1:7" x14ac:dyDescent="0.35">
      <c r="A5" s="3" t="s">
        <v>12</v>
      </c>
      <c r="B5" s="4"/>
      <c r="C5" s="4"/>
      <c r="D5" s="3"/>
      <c r="E5" s="1"/>
      <c r="F5" s="1"/>
      <c r="G5" s="1"/>
    </row>
    <row r="6" spans="1:7" x14ac:dyDescent="0.35">
      <c r="A6" s="3" t="s">
        <v>13</v>
      </c>
      <c r="B6" s="4"/>
      <c r="C6" s="4"/>
      <c r="D6" s="3"/>
      <c r="E6" s="1"/>
      <c r="F6" s="1"/>
      <c r="G6" s="1"/>
    </row>
    <row r="7" spans="1:7" x14ac:dyDescent="0.35">
      <c r="A7" s="3" t="s">
        <v>14</v>
      </c>
      <c r="B7" s="5">
        <f>B5+B6</f>
        <v>0</v>
      </c>
      <c r="C7" s="5">
        <f>C5+C6</f>
        <v>0</v>
      </c>
      <c r="D7" s="3"/>
      <c r="E7" s="1"/>
      <c r="F7" s="1"/>
      <c r="G7" s="1"/>
    </row>
    <row r="8" spans="1:7" x14ac:dyDescent="0.35">
      <c r="A8" s="3" t="s">
        <v>15</v>
      </c>
      <c r="B8" s="4"/>
      <c r="C8" s="4"/>
      <c r="D8" s="3"/>
      <c r="E8" s="1"/>
      <c r="F8" s="1"/>
      <c r="G8" s="1"/>
    </row>
    <row r="9" spans="1:7" x14ac:dyDescent="0.35">
      <c r="A9" s="3" t="s">
        <v>16</v>
      </c>
      <c r="B9" s="4"/>
      <c r="C9" s="4"/>
      <c r="D9" s="3"/>
      <c r="E9" s="1"/>
      <c r="F9" s="1"/>
      <c r="G9" s="1"/>
    </row>
    <row r="10" spans="1:7" x14ac:dyDescent="0.35">
      <c r="A10" s="3" t="s">
        <v>17</v>
      </c>
      <c r="B10" s="4"/>
      <c r="C10" s="4"/>
      <c r="D10" s="3"/>
      <c r="E10" s="1"/>
      <c r="F10" s="1"/>
      <c r="G10" s="1"/>
    </row>
    <row r="11" spans="1:7" x14ac:dyDescent="0.35">
      <c r="A11" s="3" t="s">
        <v>18</v>
      </c>
      <c r="B11" s="4"/>
      <c r="C11" s="4"/>
      <c r="D11" s="3"/>
      <c r="E11" s="1"/>
      <c r="F11" s="1"/>
      <c r="G11" s="1"/>
    </row>
    <row r="12" spans="1:7" x14ac:dyDescent="0.35">
      <c r="A12" s="3" t="s">
        <v>19</v>
      </c>
      <c r="B12" s="4">
        <f>B7-B8</f>
        <v>0</v>
      </c>
      <c r="C12" s="4">
        <f>C7-C8</f>
        <v>0</v>
      </c>
      <c r="D12" s="3"/>
      <c r="E12" s="1"/>
      <c r="F12" s="1"/>
      <c r="G12" s="1"/>
    </row>
    <row r="13" spans="1:7" x14ac:dyDescent="0.35">
      <c r="A13" s="3" t="s">
        <v>20</v>
      </c>
      <c r="B13" s="4"/>
      <c r="C13" s="4"/>
      <c r="D13" s="3"/>
      <c r="E13" s="1"/>
      <c r="F13" s="1"/>
      <c r="G13" s="1"/>
    </row>
    <row r="14" spans="1:7" x14ac:dyDescent="0.35">
      <c r="A14" s="3" t="s">
        <v>21</v>
      </c>
      <c r="B14" s="4">
        <f>B12+B13</f>
        <v>0</v>
      </c>
      <c r="C14" s="4">
        <f>C12+C13</f>
        <v>0</v>
      </c>
      <c r="D14" s="3"/>
      <c r="E14" s="1"/>
      <c r="F14" s="1"/>
      <c r="G14" s="1"/>
    </row>
    <row r="15" spans="1:7" x14ac:dyDescent="0.35">
      <c r="A15" s="3" t="s">
        <v>22</v>
      </c>
      <c r="B15" s="4"/>
      <c r="C15" s="4"/>
      <c r="D15" s="3"/>
      <c r="E15" s="1"/>
      <c r="F15" s="1"/>
      <c r="G15" s="1"/>
    </row>
    <row r="16" spans="1:7" x14ac:dyDescent="0.35">
      <c r="A16" s="3" t="s">
        <v>23</v>
      </c>
      <c r="B16" s="4">
        <f>B14-B15</f>
        <v>0</v>
      </c>
      <c r="C16" s="4">
        <f>C14-C15</f>
        <v>0</v>
      </c>
      <c r="D16" s="3"/>
      <c r="E16" s="1"/>
      <c r="F16" s="1"/>
      <c r="G16" s="1"/>
    </row>
    <row r="17" spans="1:7" x14ac:dyDescent="0.35">
      <c r="A17" s="3" t="s">
        <v>24</v>
      </c>
      <c r="B17" s="5">
        <f>B9-B11</f>
        <v>0</v>
      </c>
      <c r="C17" s="5">
        <f>C9-C11</f>
        <v>0</v>
      </c>
      <c r="D17" s="3"/>
      <c r="E17" s="1"/>
      <c r="F17" s="1"/>
      <c r="G17" s="1"/>
    </row>
    <row r="18" spans="1:7" x14ac:dyDescent="0.35">
      <c r="A18" s="3" t="s">
        <v>25</v>
      </c>
      <c r="B18" s="5">
        <f>B12+B17+B10</f>
        <v>0</v>
      </c>
      <c r="C18" s="5">
        <f>C12+C17+C10</f>
        <v>0</v>
      </c>
      <c r="D18" s="3"/>
      <c r="E18" s="1"/>
      <c r="F18" s="1"/>
      <c r="G18" s="1"/>
    </row>
    <row r="19" spans="1:7" x14ac:dyDescent="0.35">
      <c r="A19" s="3" t="s">
        <v>26</v>
      </c>
      <c r="B19" s="7" t="e">
        <f>B18/B5</f>
        <v>#DIV/0!</v>
      </c>
      <c r="C19" s="7" t="e">
        <f>C18/C5</f>
        <v>#DIV/0!</v>
      </c>
      <c r="D19" s="3"/>
      <c r="E19" s="1"/>
      <c r="F19" s="1"/>
      <c r="G19" s="1"/>
    </row>
    <row r="20" spans="1:7" x14ac:dyDescent="0.35">
      <c r="A20" s="3" t="s">
        <v>27</v>
      </c>
      <c r="B20" s="5">
        <f>B12+B17</f>
        <v>0</v>
      </c>
      <c r="C20" s="5">
        <f>C12+C17</f>
        <v>0</v>
      </c>
      <c r="D20" s="3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2" t="s">
        <v>28</v>
      </c>
      <c r="B22" s="2" t="s">
        <v>7</v>
      </c>
      <c r="C22" s="2" t="s">
        <v>8</v>
      </c>
      <c r="D22" s="1"/>
      <c r="E22" s="1"/>
      <c r="F22" s="1"/>
      <c r="G22" s="1"/>
    </row>
    <row r="23" spans="1:7" x14ac:dyDescent="0.35">
      <c r="A23" s="3" t="s">
        <v>29</v>
      </c>
      <c r="B23" s="4"/>
      <c r="C23" s="4"/>
      <c r="D23" s="1"/>
      <c r="E23" s="1"/>
      <c r="F23" s="1"/>
      <c r="G23" s="1"/>
    </row>
    <row r="24" spans="1:7" x14ac:dyDescent="0.35">
      <c r="A24" s="3" t="s">
        <v>30</v>
      </c>
      <c r="B24" s="4"/>
      <c r="C24" s="4"/>
      <c r="D24" s="1"/>
      <c r="E24" s="1"/>
      <c r="F24" s="1"/>
      <c r="G24" s="1"/>
    </row>
    <row r="25" spans="1:7" x14ac:dyDescent="0.35">
      <c r="A25" s="3" t="s">
        <v>31</v>
      </c>
      <c r="B25" s="4"/>
      <c r="C25" s="4"/>
      <c r="D25" s="1"/>
      <c r="E25" s="1"/>
      <c r="F25" s="1"/>
      <c r="G25" s="1"/>
    </row>
    <row r="26" spans="1:7" x14ac:dyDescent="0.35">
      <c r="A26" s="3" t="s">
        <v>32</v>
      </c>
      <c r="B26" s="4"/>
      <c r="C26" s="4"/>
      <c r="D26" s="1"/>
      <c r="E26" s="1"/>
      <c r="F26" s="1"/>
      <c r="G26" s="1"/>
    </row>
    <row r="27" spans="1:7" x14ac:dyDescent="0.35">
      <c r="A27" s="3" t="s">
        <v>33</v>
      </c>
      <c r="B27" s="4"/>
      <c r="C27" s="4"/>
      <c r="D27" s="1"/>
      <c r="E27" s="1"/>
      <c r="F27" s="1"/>
      <c r="G27" s="1"/>
    </row>
    <row r="28" spans="1:7" x14ac:dyDescent="0.35">
      <c r="A28" s="3" t="s">
        <v>34</v>
      </c>
      <c r="B28" s="4"/>
      <c r="C28" s="4"/>
      <c r="D28" s="1"/>
      <c r="E28" s="1"/>
      <c r="F28" s="1"/>
      <c r="G28" s="1"/>
    </row>
    <row r="29" spans="1:7" x14ac:dyDescent="0.35">
      <c r="A29" s="3" t="s">
        <v>35</v>
      </c>
      <c r="B29" s="4"/>
      <c r="C29" s="4"/>
      <c r="D29" s="1"/>
      <c r="E29" s="1"/>
      <c r="F29" s="1"/>
      <c r="G29" s="1"/>
    </row>
    <row r="30" spans="1:7" x14ac:dyDescent="0.35">
      <c r="A30" s="3" t="s">
        <v>36</v>
      </c>
      <c r="B30" s="5">
        <f>SUM(B26:B29)</f>
        <v>0</v>
      </c>
      <c r="C30" s="5">
        <f>SUM(C26:C29)</f>
        <v>0</v>
      </c>
      <c r="D30" s="1"/>
      <c r="E30" s="1"/>
      <c r="F30" s="1"/>
      <c r="G30" s="1"/>
    </row>
    <row r="31" spans="1:7" x14ac:dyDescent="0.35">
      <c r="A31" s="3" t="s">
        <v>37</v>
      </c>
      <c r="B31" s="4"/>
      <c r="C31" s="4"/>
      <c r="D31" s="1"/>
      <c r="E31" s="1"/>
      <c r="F31" s="1"/>
      <c r="G31" s="1"/>
    </row>
    <row r="32" spans="1:7" x14ac:dyDescent="0.35">
      <c r="A32" s="3" t="s">
        <v>38</v>
      </c>
      <c r="B32" s="4"/>
      <c r="C32" s="4"/>
      <c r="D32" s="1"/>
      <c r="E32" s="1"/>
      <c r="F32" s="1"/>
      <c r="G32" s="1"/>
    </row>
    <row r="33" spans="1:7" x14ac:dyDescent="0.35">
      <c r="A33" s="3" t="s">
        <v>39</v>
      </c>
      <c r="B33" s="4"/>
      <c r="C33" s="4"/>
      <c r="D33" s="1"/>
      <c r="E33" s="1"/>
      <c r="F33" s="1"/>
      <c r="G33" s="1"/>
    </row>
    <row r="34" spans="1:7" x14ac:dyDescent="0.35">
      <c r="A34" s="3" t="s">
        <v>40</v>
      </c>
      <c r="B34" s="5">
        <f>B30-B31-B32-B33</f>
        <v>0</v>
      </c>
      <c r="C34" s="5">
        <f>C30-C31-C32-C33</f>
        <v>0</v>
      </c>
      <c r="D34" s="1"/>
      <c r="E34" s="1"/>
      <c r="F34" s="1"/>
      <c r="G34" s="1"/>
    </row>
    <row r="35" spans="1:7" x14ac:dyDescent="0.35">
      <c r="A35" s="3" t="s">
        <v>41</v>
      </c>
      <c r="B35" s="4"/>
      <c r="C35" s="4"/>
      <c r="D35" s="1"/>
      <c r="E35" s="1"/>
      <c r="F35" s="1"/>
      <c r="G35" s="1"/>
    </row>
    <row r="36" spans="1:7" x14ac:dyDescent="0.35">
      <c r="A36" s="3" t="s">
        <v>42</v>
      </c>
      <c r="B36" s="4"/>
      <c r="C36" s="4"/>
      <c r="D36" s="1"/>
      <c r="E36" s="1"/>
      <c r="F36" s="1"/>
      <c r="G36" s="1"/>
    </row>
    <row r="37" spans="1:7" x14ac:dyDescent="0.35">
      <c r="A37" s="3" t="s">
        <v>43</v>
      </c>
      <c r="B37" s="4"/>
      <c r="C37" s="4"/>
      <c r="D37" s="1"/>
      <c r="E37" s="1"/>
      <c r="F37" s="1"/>
      <c r="G37" s="1"/>
    </row>
    <row r="38" spans="1:7" x14ac:dyDescent="0.35">
      <c r="A38" s="1"/>
      <c r="B38" s="1"/>
      <c r="C38" s="1"/>
      <c r="D38" s="1"/>
      <c r="E38" s="1"/>
      <c r="F38" s="1"/>
      <c r="G38" s="1"/>
    </row>
    <row r="39" spans="1:7" x14ac:dyDescent="0.35">
      <c r="A39" s="2" t="s">
        <v>44</v>
      </c>
      <c r="B39" s="2" t="s">
        <v>7</v>
      </c>
      <c r="C39" s="2" t="s">
        <v>8</v>
      </c>
      <c r="D39" s="1"/>
      <c r="E39" s="1"/>
      <c r="F39" s="1"/>
      <c r="G39" s="1"/>
    </row>
    <row r="40" spans="1:7" x14ac:dyDescent="0.35">
      <c r="A40" s="3" t="s">
        <v>45</v>
      </c>
      <c r="B40" s="4"/>
      <c r="C40" s="4"/>
      <c r="D40" s="1"/>
      <c r="E40" s="1"/>
      <c r="F40" s="1"/>
      <c r="G40" s="1"/>
    </row>
    <row r="41" spans="1:7" x14ac:dyDescent="0.35">
      <c r="A41" s="3" t="s">
        <v>46</v>
      </c>
      <c r="B41" s="4"/>
      <c r="C41" s="4"/>
      <c r="D41" s="1"/>
      <c r="E41" s="1"/>
      <c r="F41" s="1"/>
      <c r="G41" s="1"/>
    </row>
    <row r="42" spans="1:7" x14ac:dyDescent="0.35">
      <c r="A42" s="3" t="s">
        <v>47</v>
      </c>
      <c r="B42" s="4"/>
      <c r="C42" s="4"/>
      <c r="D42" s="1"/>
      <c r="E42" s="1"/>
      <c r="F42" s="1"/>
      <c r="G42" s="1"/>
    </row>
    <row r="43" spans="1:7" x14ac:dyDescent="0.35">
      <c r="A43" s="3" t="s">
        <v>48</v>
      </c>
      <c r="B43" s="4"/>
      <c r="C43" s="4"/>
      <c r="D43" s="1"/>
      <c r="E43" s="1"/>
      <c r="F43" s="1"/>
      <c r="G43" s="1"/>
    </row>
    <row r="44" spans="1:7" x14ac:dyDescent="0.35">
      <c r="A44" s="3" t="s">
        <v>49</v>
      </c>
      <c r="B44" s="4"/>
      <c r="C44" s="4"/>
      <c r="D44" s="1"/>
      <c r="E44" s="1"/>
      <c r="F44" s="1"/>
      <c r="G44" s="1"/>
    </row>
    <row r="45" spans="1:7" x14ac:dyDescent="0.35">
      <c r="A45" s="3" t="s">
        <v>50</v>
      </c>
      <c r="B45" s="4"/>
      <c r="C45" s="4"/>
      <c r="D45" s="1"/>
      <c r="E45" s="1"/>
      <c r="F45" s="1"/>
      <c r="G45" s="1"/>
    </row>
    <row r="46" spans="1:7" x14ac:dyDescent="0.35">
      <c r="A46" s="3" t="s">
        <v>51</v>
      </c>
      <c r="B46" s="4"/>
      <c r="C46" s="4"/>
      <c r="D46" s="1"/>
      <c r="E46" s="1"/>
      <c r="F46" s="1"/>
      <c r="G46" s="1"/>
    </row>
    <row r="47" spans="1:7" x14ac:dyDescent="0.35">
      <c r="A47" s="1"/>
      <c r="B47" s="1"/>
      <c r="C47" s="1"/>
      <c r="D47" s="1"/>
      <c r="E47" s="1"/>
      <c r="F47" s="1"/>
      <c r="G47" s="1"/>
    </row>
    <row r="48" spans="1:7" ht="29" x14ac:dyDescent="0.35">
      <c r="A48" s="2" t="s">
        <v>52</v>
      </c>
      <c r="B48" s="2" t="s">
        <v>76</v>
      </c>
      <c r="C48" s="2" t="s">
        <v>74</v>
      </c>
      <c r="D48" s="2" t="s">
        <v>75</v>
      </c>
      <c r="E48" s="13" t="s">
        <v>74</v>
      </c>
      <c r="F48" s="1"/>
      <c r="G48" s="1"/>
    </row>
    <row r="49" spans="1:7" x14ac:dyDescent="0.35">
      <c r="A49" s="3" t="s">
        <v>53</v>
      </c>
      <c r="B49" s="8"/>
      <c r="C49" s="8" t="e">
        <f>B20/((B9-B11)+(B43+B44))</f>
        <v>#DIV/0!</v>
      </c>
      <c r="D49" s="12"/>
      <c r="E49" s="14" t="e">
        <f>C20/((C9-C11)+(C43+C44))</f>
        <v>#DIV/0!</v>
      </c>
      <c r="F49" s="1"/>
      <c r="G49" s="1"/>
    </row>
    <row r="50" spans="1:7" x14ac:dyDescent="0.35">
      <c r="A50" s="3" t="s">
        <v>54</v>
      </c>
      <c r="B50" s="8"/>
      <c r="C50" s="8" t="e">
        <f>B20/((B9-B11))</f>
        <v>#DIV/0!</v>
      </c>
      <c r="D50" s="12"/>
      <c r="E50" s="14" t="e">
        <f>C20/((C9-C11))</f>
        <v>#DIV/0!</v>
      </c>
      <c r="F50" s="1"/>
      <c r="G50" s="1"/>
    </row>
    <row r="51" spans="1:7" x14ac:dyDescent="0.35">
      <c r="A51" s="3" t="s">
        <v>55</v>
      </c>
      <c r="B51" s="8"/>
      <c r="C51" s="15" t="e">
        <f>B35/(B36-B29)</f>
        <v>#DIV/0!</v>
      </c>
      <c r="D51" s="12"/>
      <c r="E51" s="15" t="e">
        <f>C35/(C36-C29)</f>
        <v>#DIV/0!</v>
      </c>
      <c r="F51" s="1"/>
      <c r="G51" s="1"/>
    </row>
    <row r="52" spans="1:7" x14ac:dyDescent="0.35">
      <c r="A52" s="3" t="s">
        <v>56</v>
      </c>
      <c r="B52" s="8"/>
      <c r="C52" s="8" t="e">
        <f>(B30-B31-B32-B33)/B59</f>
        <v>#DIV/0!</v>
      </c>
      <c r="D52" s="12"/>
      <c r="E52" s="15" t="e">
        <f>(C30-C31-C32-C33)/C59</f>
        <v>#DIV/0!</v>
      </c>
      <c r="F52" s="1"/>
      <c r="G52" s="1"/>
    </row>
    <row r="53" spans="1:7" x14ac:dyDescent="0.35">
      <c r="A53" s="3" t="s">
        <v>57</v>
      </c>
      <c r="B53" s="8"/>
      <c r="C53" s="8" t="e">
        <f>B30/B24</f>
        <v>#DIV/0!</v>
      </c>
      <c r="D53" s="12"/>
      <c r="E53" s="14" t="e">
        <f>C30/C24</f>
        <v>#DIV/0!</v>
      </c>
      <c r="F53" s="1"/>
      <c r="G53" s="1"/>
    </row>
    <row r="54" spans="1:7" x14ac:dyDescent="0.35">
      <c r="A54" s="3" t="s">
        <v>58</v>
      </c>
      <c r="B54" s="9"/>
      <c r="C54" s="9" t="e">
        <f>B19</f>
        <v>#DIV/0!</v>
      </c>
      <c r="D54" s="12"/>
      <c r="E54" s="16" t="e">
        <f>C19</f>
        <v>#DIV/0!</v>
      </c>
      <c r="F54" s="1"/>
      <c r="G54" s="1"/>
    </row>
    <row r="55" spans="1:7" x14ac:dyDescent="0.35">
      <c r="A55" s="3" t="s">
        <v>59</v>
      </c>
      <c r="B55" s="9"/>
      <c r="C55" s="9" t="e">
        <f>B16/B5</f>
        <v>#DIV/0!</v>
      </c>
      <c r="D55" s="12"/>
      <c r="E55" s="14" t="e">
        <f>C16/C5</f>
        <v>#DIV/0!</v>
      </c>
      <c r="F55" s="1"/>
      <c r="G55" s="1"/>
    </row>
    <row r="56" spans="1:7" x14ac:dyDescent="0.35">
      <c r="A56" s="3" t="s">
        <v>60</v>
      </c>
      <c r="B56" s="4"/>
      <c r="C56" s="4">
        <f>B25</f>
        <v>0</v>
      </c>
      <c r="D56" s="12"/>
      <c r="E56" s="14">
        <f>C25</f>
        <v>0</v>
      </c>
      <c r="F56" s="1"/>
      <c r="G56" s="1"/>
    </row>
    <row r="57" spans="1:7" x14ac:dyDescent="0.35">
      <c r="A57" s="1"/>
      <c r="B57" s="1"/>
      <c r="C57" s="1"/>
      <c r="D57" s="1"/>
      <c r="E57" s="1"/>
      <c r="F57" s="1"/>
      <c r="G57" s="1"/>
    </row>
    <row r="58" spans="1:7" x14ac:dyDescent="0.35">
      <c r="A58" s="2" t="s">
        <v>61</v>
      </c>
      <c r="B58" s="2"/>
      <c r="C58" s="2"/>
      <c r="D58" s="1"/>
      <c r="E58" s="1"/>
      <c r="F58" s="1"/>
      <c r="G58" s="1"/>
    </row>
    <row r="59" spans="1:7" x14ac:dyDescent="0.35">
      <c r="A59" s="3" t="s">
        <v>62</v>
      </c>
      <c r="B59" s="5">
        <f>(B25+C25)/2</f>
        <v>0</v>
      </c>
      <c r="C59" s="3">
        <f>(C25+(C25+C46-C47))/2</f>
        <v>0</v>
      </c>
      <c r="D59" s="1"/>
      <c r="E59" s="1"/>
      <c r="F59" s="1"/>
      <c r="G59" s="1"/>
    </row>
    <row r="60" spans="1:7" x14ac:dyDescent="0.35">
      <c r="A60" s="1"/>
      <c r="B60" s="1"/>
      <c r="C60" s="1"/>
      <c r="D60" s="1"/>
      <c r="E60" s="1"/>
      <c r="F60" s="1"/>
      <c r="G60" s="1"/>
    </row>
    <row r="61" spans="1:7" x14ac:dyDescent="0.35">
      <c r="A61" s="1"/>
      <c r="B61" s="1"/>
      <c r="C61" s="1"/>
      <c r="D61" s="1"/>
      <c r="E61" s="1"/>
      <c r="F61" s="1"/>
      <c r="G61" s="1"/>
    </row>
    <row r="62" spans="1:7" x14ac:dyDescent="0.35">
      <c r="A62" s="2" t="s">
        <v>63</v>
      </c>
      <c r="B62" s="2"/>
      <c r="C62" s="2"/>
      <c r="D62" s="1"/>
      <c r="E62" s="1"/>
      <c r="F62" s="1"/>
      <c r="G62" s="1"/>
    </row>
    <row r="63" spans="1:7" x14ac:dyDescent="0.35">
      <c r="A63" s="3" t="s">
        <v>64</v>
      </c>
      <c r="B63" s="5" t="str">
        <f>IF(ABS(B12-D12)&lt;=1,"PASS","FAIL")</f>
        <v>PASS</v>
      </c>
      <c r="C63" s="3"/>
      <c r="D63" s="1"/>
      <c r="E63" s="1"/>
      <c r="F63" s="1"/>
      <c r="G63" s="1"/>
    </row>
    <row r="64" spans="1:7" x14ac:dyDescent="0.35">
      <c r="A64" s="3" t="s">
        <v>65</v>
      </c>
      <c r="B64" s="5" t="str">
        <f>IF(ABS(B16-D16)&lt;=1,"PASS","FAIL")</f>
        <v>PASS</v>
      </c>
      <c r="C64" s="3"/>
      <c r="D64" s="1"/>
      <c r="E64" s="1"/>
      <c r="F64" s="1"/>
      <c r="G64" s="1"/>
    </row>
    <row r="65" spans="1:7" x14ac:dyDescent="0.35">
      <c r="A65" s="3" t="s">
        <v>66</v>
      </c>
      <c r="B65" s="5" t="str">
        <f>IF(ABS(B24-(B25+B37))&lt;=0.01*B24,"PASS","FAIL")</f>
        <v>PASS</v>
      </c>
      <c r="C65" s="3"/>
      <c r="D65" s="1"/>
      <c r="E65" s="1"/>
      <c r="F65" s="1"/>
      <c r="G65" s="1"/>
    </row>
    <row r="66" spans="1:7" x14ac:dyDescent="0.35">
      <c r="A66" s="3" t="s">
        <v>67</v>
      </c>
      <c r="B66" s="5" t="str">
        <f>IF(AND(B40&gt;0,C40&gt;0),"PASS","FLAG FOR REVIEW")</f>
        <v>FLAG FOR REVIEW</v>
      </c>
      <c r="C66" s="3"/>
      <c r="D66" s="1"/>
      <c r="E66" s="1"/>
      <c r="F66" s="1"/>
      <c r="G66" s="1"/>
    </row>
    <row r="67" spans="1:7" x14ac:dyDescent="0.35">
      <c r="A67" s="1"/>
      <c r="B67" s="1"/>
      <c r="C67" s="1"/>
      <c r="D67" s="1"/>
      <c r="E67" s="1"/>
      <c r="F67" s="1"/>
      <c r="G67" s="1"/>
    </row>
    <row r="68" spans="1:7" ht="29" x14ac:dyDescent="0.35">
      <c r="A68" s="2" t="s">
        <v>68</v>
      </c>
      <c r="B68" s="2"/>
      <c r="C68" s="2"/>
      <c r="D68" s="1"/>
      <c r="E68" s="1"/>
      <c r="F68" s="1"/>
      <c r="G68" s="1"/>
    </row>
    <row r="69" spans="1:7" x14ac:dyDescent="0.35">
      <c r="A69" s="3" t="s">
        <v>69</v>
      </c>
      <c r="B69" s="5" t="e">
        <f>IF(ABS(B19-B54)&lt;=0.0005,"PASS - ties","CHECK")</f>
        <v>#DIV/0!</v>
      </c>
      <c r="C69" s="3"/>
      <c r="D69" s="1"/>
      <c r="E69" s="1"/>
      <c r="F69" s="1"/>
      <c r="G69" s="1"/>
    </row>
    <row r="70" spans="1:7" x14ac:dyDescent="0.35">
      <c r="A70" s="3" t="s">
        <v>70</v>
      </c>
      <c r="B70" s="5" t="e">
        <f>IF(ABS(C19-D54)&lt;=0.0005,"PASS - ties","CHECK")</f>
        <v>#DIV/0!</v>
      </c>
      <c r="C70" s="3"/>
      <c r="D70" s="1"/>
      <c r="E70" s="1"/>
      <c r="F70" s="1"/>
      <c r="G70" s="1"/>
    </row>
    <row r="71" spans="1:7" x14ac:dyDescent="0.35">
      <c r="A71" s="3" t="s">
        <v>71</v>
      </c>
      <c r="B71" s="5" t="e">
        <f>IF(ABS(B16/B5-B55)&lt;=0.0005,"PASS - ties","CHECK")</f>
        <v>#DIV/0!</v>
      </c>
      <c r="C71" s="3"/>
      <c r="D71" s="1"/>
      <c r="E71" s="1"/>
      <c r="F71" s="1"/>
      <c r="G71" s="1"/>
    </row>
    <row r="72" spans="1:7" x14ac:dyDescent="0.35">
      <c r="A72" s="3" t="s">
        <v>72</v>
      </c>
      <c r="B72" s="5" t="e">
        <f>IF(ABS(B30/B24-B53)&lt;=0.005,"PASS - ties","CHECK")</f>
        <v>#DIV/0!</v>
      </c>
      <c r="C72" s="3"/>
      <c r="D72" s="1"/>
      <c r="E72" s="1"/>
      <c r="F72" s="1"/>
      <c r="G72" s="1"/>
    </row>
    <row r="73" spans="1:7" x14ac:dyDescent="0.35">
      <c r="A73" s="3" t="s">
        <v>73</v>
      </c>
      <c r="B73" s="5" t="e">
        <f>IF(ABS(B34/B59-B52)&lt;=0.001,"PASS - ties","CHECK")</f>
        <v>#DIV/0!</v>
      </c>
      <c r="C73" s="3"/>
      <c r="D73" s="1"/>
      <c r="E73" s="1"/>
      <c r="F73" s="1"/>
      <c r="G73" s="1"/>
    </row>
  </sheetData>
  <mergeCells count="1">
    <mergeCell ref="A1:D1"/>
  </mergeCells>
  <pageMargins left="0.75" right="0.75" top="1" bottom="1" header="0.5" footer="0.5"/>
  <pageSetup fitToHeight="0"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Ade, Harshad - Ext</cp:lastModifiedBy>
  <dcterms:created xsi:type="dcterms:W3CDTF">2026-08-17T06:02:09Z</dcterms:created>
  <dcterms:modified xsi:type="dcterms:W3CDTF">2026-08-17T11:16:22Z</dcterms:modified>
</cp:coreProperties>
</file>